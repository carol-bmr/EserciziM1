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3965ca6def52ccf6/Desktop/Epicode/Esercizi/2° Settimana_M2/"/>
    </mc:Choice>
  </mc:AlternateContent>
  <xr:revisionPtr revIDLastSave="515" documentId="11_BCEC10C725FD676463B03574C39560206D688F85" xr6:coauthVersionLast="47" xr6:coauthVersionMax="47" xr10:uidLastSave="{9C4C5411-D0A5-41FC-B978-B161EBB9DF44}"/>
  <bookViews>
    <workbookView xWindow="-108" yWindow="-108" windowWidth="23256" windowHeight="12456" xr2:uid="{00000000-000D-0000-FFFF-FFFF00000000}"/>
  </bookViews>
  <sheets>
    <sheet name="Prodotti" sheetId="1" r:id="rId1"/>
  </sheets>
  <definedNames>
    <definedName name="_xlchart.v2.0" hidden="1">Prodotti!$A$20:$A$29</definedName>
    <definedName name="_xlchart.v2.1" hidden="1">Prodotti!$B$19</definedName>
    <definedName name="_xlchart.v2.2" hidden="1">Prodotti!$B$20:$B$29</definedName>
    <definedName name="_xlchart.v2.3" hidden="1">Prodotti!$C$19</definedName>
    <definedName name="_xlchart.v2.4" hidden="1">Prodotti!$C$20:$C$29</definedName>
    <definedName name="_xlnm.Print_Area" localSheetId="0">Prodotti!$A$1:$E$29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 a="1"/>
  <c r="C14" i="1" s="1"/>
  <c r="C15" i="1" a="1"/>
  <c r="C15" i="1" s="1"/>
  <c r="C16" i="1" a="1"/>
  <c r="C16" i="1" s="1"/>
  <c r="C17" i="1" a="1"/>
  <c r="C17" i="1" s="1"/>
  <c r="E10" i="1"/>
  <c r="E6" i="1"/>
  <c r="E11" i="1"/>
  <c r="E7" i="1"/>
  <c r="E2" i="1"/>
  <c r="E3" i="1"/>
  <c r="E8" i="1"/>
  <c r="E4" i="1"/>
  <c r="E5" i="1"/>
  <c r="B17" i="1" s="1"/>
  <c r="E9" i="1"/>
  <c r="B16" i="1" l="1"/>
  <c r="B15" i="1"/>
  <c r="B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<sst xmlns="http://schemas.openxmlformats.org/spreadsheetml/2006/main" count="61" uniqueCount="27">
  <si>
    <t>Azienda</t>
  </si>
  <si>
    <t>Prodotto</t>
  </si>
  <si>
    <t>Quantità</t>
  </si>
  <si>
    <t>Prezzo</t>
  </si>
  <si>
    <t>Totale</t>
  </si>
  <si>
    <t>Tech Innovations Ltd.</t>
  </si>
  <si>
    <t>Tecnologia</t>
  </si>
  <si>
    <t>Cibo</t>
  </si>
  <si>
    <t>SolarTech Solutions</t>
  </si>
  <si>
    <t>Pannelli</t>
  </si>
  <si>
    <t>Quanti</t>
  </si>
  <si>
    <t>Infinito</t>
  </si>
  <si>
    <t>AquaLux Dynamics</t>
  </si>
  <si>
    <t>Crema</t>
  </si>
  <si>
    <t>Acqua</t>
  </si>
  <si>
    <t>Orizzonte</t>
  </si>
  <si>
    <t>Pianeta</t>
  </si>
  <si>
    <t>EcoVibe Solutions</t>
  </si>
  <si>
    <t>Vibrazione</t>
  </si>
  <si>
    <t>Esercizio 2</t>
  </si>
  <si>
    <t>Esercizio 3</t>
  </si>
  <si>
    <t>Esercizio 1</t>
  </si>
  <si>
    <t>Avete acquistato prodotti niche da diverse aziende: inserite la formula per calcolare il totale di ogni prodotto in relazione allʼazienda nella colonna E. Modificate il layout in modo che: Lʼorientamento di pagina risulti verticale. I margini superiori ed inferiori siano di 1cm, mentre il sinistro e il destro di 0.5cm. Restringete lʼarea di stampa nel range di celle A1:E11. Inserite come intestazione “Spese recentiˮ.</t>
  </si>
  <si>
    <t>Rappresentate la spesa totale in relazione ai prodotti e alle aziende con almeno due diversi grafici ciascuno. Come potete fare? Avete bisogno di creare nuove colonne?</t>
  </si>
  <si>
    <t>Utilizzando i precedenti dati e grafici, organizzate lo worksheet tramite interruzioni di pagina in modo che otteniate: una pagina con i dati tabellari. una pagina relativa ai grafici delle aziende. due pagine relative ai grafici dei prodotti. Aggiungete per ogni pagina unʼintestazione a piacere ed una nota a piè pagina in cui sia indicato il numero di pagina e la data.</t>
  </si>
  <si>
    <t>Spesa Tot.</t>
  </si>
  <si>
    <t>Prodotti per azienda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</si>
</sst>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\ &quot;€&quot;"/>
  </numFmts>
  <fonts count="7" x14ac:knownFonts="1"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/>
      <bottom style="thin">
        <color theme="7" tint="0.39997558519241921"/>
      </bottom>
      <diagonal/>
    </border>
    <border>
      <left/>
      <right/>
      <top style="thin">
        <color theme="7" tint="0.39997558519241921"/>
      </top>
      <bottom/>
      <diagonal/>
    </border>
    <border>
      <left style="thin">
        <color theme="7" tint="0.39997558519241921"/>
      </left>
      <right/>
      <top style="thin">
        <color theme="7" tint="0.3999755851924192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5" fillId="0" borderId="1" xfId="0" applyFont="1" applyBorder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" fontId="2" fillId="0" borderId="0" xfId="0" applyNumberFormat="1" applyFont="1" applyAlignment="1">
      <alignment horizontal="center" vertical="center"/>
    </xf>
    <xf numFmtId="44" fontId="0" fillId="0" borderId="0" xfId="0" applyNumberForma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5" borderId="6" xfId="0" applyFont="1" applyFill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3" fillId="4" borderId="7" xfId="0" applyFont="1" applyFill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4" borderId="7" xfId="0" applyFont="1" applyFill="1" applyBorder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164" fontId="4" fillId="5" borderId="6" xfId="0" applyNumberFormat="1" applyFont="1" applyFill="1" applyBorder="1" applyAlignment="1">
      <alignment vertical="center"/>
    </xf>
    <xf numFmtId="164" fontId="4" fillId="0" borderId="5" xfId="0" applyNumberFormat="1" applyFont="1" applyBorder="1" applyAlignment="1">
      <alignment vertical="center"/>
    </xf>
    <xf numFmtId="164" fontId="4" fillId="0" borderId="9" xfId="0" applyNumberFormat="1" applyFont="1" applyBorder="1" applyAlignment="1">
      <alignment vertical="center"/>
    </xf>
    <xf numFmtId="0" fontId="0" fillId="0" borderId="0" xfId="0" applyAlignment="1">
      <alignment horizontal="left"/>
    </xf>
    <xf numFmtId="0" fontId="6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6" fillId="6" borderId="3" xfId="0" applyFont="1" applyFill="1" applyBorder="1" applyAlignment="1">
      <alignment horizontal="left" vertical="center" wrapText="1"/>
    </xf>
    <xf numFmtId="0" fontId="6" fillId="6" borderId="4" xfId="0" applyFont="1" applyFill="1" applyBorder="1" applyAlignment="1">
      <alignment horizontal="left" vertical="center" wrapText="1"/>
    </xf>
  </cellXfs>
  <cellStyles count="1">
    <cellStyle name="Normale" xfId="0" builtinId="0"/>
  </cellStyles>
  <dxfs count="22"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0" formatCode="General"/>
    </dxf>
    <dxf>
      <numFmt numFmtId="164" formatCode="#,##0.00\ &quot;€&quot;"/>
      <alignment horizontal="general" vertical="center" textRotation="0" wrapText="0" indent="0" justifyLastLine="0" shrinkToFit="0" readingOrder="0"/>
    </dxf>
    <dxf>
      <border outline="0">
        <top style="thin">
          <color theme="7" tint="0.39997558519241921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theme="7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theme="7"/>
          <bgColor theme="7"/>
        </patternFill>
      </fill>
      <alignment horizontal="left" vertical="center" textRotation="0" wrapText="0" indent="0" justifyLastLine="0" shrinkToFit="0" readingOrder="0"/>
    </dxf>
    <dxf>
      <numFmt numFmtId="34" formatCode="_-* #,##0.00\ &quot;€&quot;_-;\-* #,##0.00\ &quot;€&quot;_-;_-* &quot;-&quot;??\ &quot;€&quot;_-;_-@_-"/>
      <alignment horizontal="left" vertical="center" textRotation="0" wrapText="0" indent="0" justifyLastLine="0" shrinkToFit="0" readingOrder="0"/>
    </dxf>
    <dxf>
      <numFmt numFmtId="164" formatCode="#,##0.00\ &quot;€&quot;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#,##0.00\ &quot;€&quot;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Spesa Totale per Azienda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Prodotti!$B$13</c:f>
              <c:strCache>
                <c:ptCount val="1"/>
                <c:pt idx="0">
                  <c:v>Spesa Tot.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A28-49D5-925A-B1DC41B088A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A28-49D5-925A-B1DC41B088A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A28-49D5-925A-B1DC41B088A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A28-49D5-925A-B1DC41B088AD}"/>
              </c:ext>
            </c:extLst>
          </c:dPt>
          <c:dLbls>
            <c:dLbl>
              <c:idx val="0"/>
              <c:layout>
                <c:manualLayout>
                  <c:x val="3.7325233930246088E-2"/>
                  <c:y val="-9.8138558593058086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A28-49D5-925A-B1DC41B088AD}"/>
                </c:ext>
              </c:extLst>
            </c:dLbl>
            <c:dLbl>
              <c:idx val="1"/>
              <c:layout>
                <c:manualLayout>
                  <c:x val="6.390603529129496E-2"/>
                  <c:y val="-7.665134170505086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A28-49D5-925A-B1DC41B088AD}"/>
                </c:ext>
              </c:extLst>
            </c:dLbl>
            <c:dLbl>
              <c:idx val="2"/>
              <c:layout>
                <c:manualLayout>
                  <c:x val="-6.7001839451509108E-3"/>
                  <c:y val="2.202219215077975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A28-49D5-925A-B1DC41B088AD}"/>
                </c:ext>
              </c:extLst>
            </c:dLbl>
            <c:dLbl>
              <c:idx val="3"/>
              <c:layout>
                <c:manualLayout>
                  <c:x val="-3.6452766811350797E-2"/>
                  <c:y val="2.013651191825922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A28-49D5-925A-B1DC41B088AD}"/>
                </c:ext>
              </c:extLst>
            </c:dLbl>
            <c:numFmt formatCode="#,##0.0,&quot;k&quot;&quot;€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Prodotti!$A$14:$A$17</c:f>
              <c:strCache>
                <c:ptCount val="4"/>
                <c:pt idx="0">
                  <c:v>Tech Innovations Ltd.</c:v>
                </c:pt>
                <c:pt idx="1">
                  <c:v>SolarTech Solutions</c:v>
                </c:pt>
                <c:pt idx="2">
                  <c:v>AquaLux Dynamics</c:v>
                </c:pt>
                <c:pt idx="3">
                  <c:v>EcoVibe Solutions</c:v>
                </c:pt>
              </c:strCache>
            </c:strRef>
          </c:cat>
          <c:val>
            <c:numRef>
              <c:f>Prodotti!$B$14:$B$17</c:f>
              <c:numCache>
                <c:formatCode>#,##0.00\ "€"</c:formatCode>
                <c:ptCount val="4"/>
                <c:pt idx="0">
                  <c:v>25575</c:v>
                </c:pt>
                <c:pt idx="1">
                  <c:v>31100</c:v>
                </c:pt>
                <c:pt idx="2">
                  <c:v>37725</c:v>
                </c:pt>
                <c:pt idx="3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28-49D5-925A-B1DC41B088AD}"/>
            </c:ext>
          </c:extLst>
        </c:ser>
        <c:ser>
          <c:idx val="1"/>
          <c:order val="1"/>
          <c:tx>
            <c:strRef>
              <c:f>Prodotti!$C$13</c:f>
              <c:strCache>
                <c:ptCount val="1"/>
                <c:pt idx="0">
                  <c:v>Prodotti per azienda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1B4-4D3A-97E6-025ED467D61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1B4-4D3A-97E6-025ED467D61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1B4-4D3A-97E6-025ED467D61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1B4-4D3A-97E6-025ED467D61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Prodotti!$A$14:$A$17</c:f>
              <c:strCache>
                <c:ptCount val="4"/>
                <c:pt idx="0">
                  <c:v>Tech Innovations Ltd.</c:v>
                </c:pt>
                <c:pt idx="1">
                  <c:v>SolarTech Solutions</c:v>
                </c:pt>
                <c:pt idx="2">
                  <c:v>AquaLux Dynamics</c:v>
                </c:pt>
                <c:pt idx="3">
                  <c:v>EcoVibe Solutions</c:v>
                </c:pt>
              </c:strCache>
            </c:strRef>
          </c:cat>
          <c:val>
            <c:numRef>
              <c:f>Prodotti!$C$14:$C$17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787-4ECB-B002-7D4A4AD133D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  <cx:data id="1">
      <cx:strDim type="cat">
        <cx:f>_xlchart.v2.0</cx:f>
      </cx:strDim>
      <cx:numDim type="val">
        <cx:f>_xlchart.v2.4</cx:f>
      </cx:numDim>
    </cx:data>
  </cx:chartData>
  <cx:chart>
    <cx:title pos="t" align="ctr" overlay="0">
      <cx:tx>
        <cx:txData>
          <cx:v>Quantità Prodotti Aquistatiper Azienda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Quantità Prodotti Aquistati</a:t>
          </a:r>
          <a:br>
            <a:rPr lang="it-IT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</a:br>
          <a:r>
            <a:rPr lang="it-IT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per Azienda</a:t>
          </a:r>
        </a:p>
      </cx:txPr>
    </cx:title>
    <cx:plotArea>
      <cx:plotAreaRegion>
        <cx:series layoutId="funnel" uniqueId="{32A07EF9-D696-4581-8188-4448850EC443}" formatIdx="0">
          <cx:tx>
            <cx:txData>
              <cx:f>_xlchart.v2.1</cx:f>
              <cx:v>Quantità</cx:v>
            </cx:txData>
          </cx:tx>
          <cx:dataPt idx="0">
            <cx:spPr>
              <a:solidFill>
                <a:srgbClr val="FBBC04"/>
              </a:solidFill>
            </cx:spPr>
          </cx:dataPt>
          <cx:dataPt idx="1">
            <cx:spPr>
              <a:solidFill>
                <a:srgbClr val="FBBC04"/>
              </a:solidFill>
            </cx:spPr>
          </cx:dataPt>
          <cx:dataPt idx="2">
            <cx:spPr>
              <a:solidFill>
                <a:srgbClr val="FBBC04"/>
              </a:solidFill>
            </cx:spPr>
          </cx:dataPt>
          <cx:dataPt idx="3">
            <cx:spPr>
              <a:solidFill>
                <a:srgbClr val="34A853">
                  <a:lumMod val="75000"/>
                </a:srgbClr>
              </a:solidFill>
            </cx:spPr>
          </cx:dataPt>
          <cx:dataPt idx="4">
            <cx:spPr>
              <a:solidFill>
                <a:srgbClr val="EA4335"/>
              </a:solidFill>
            </cx:spPr>
          </cx:dataPt>
          <cx:dataPt idx="5">
            <cx:spPr>
              <a:solidFill>
                <a:srgbClr val="EA4335"/>
              </a:solidFill>
            </cx:spPr>
          </cx:dataPt>
          <cx:dataPt idx="6">
            <cx:spPr>
              <a:solidFill>
                <a:srgbClr val="EA4335"/>
              </a:solidFill>
            </cx:spPr>
          </cx:dataPt>
          <cx:dataLabels>
            <cx:visibility seriesName="0" categoryName="0" value="1"/>
          </cx:dataLabels>
          <cx:dataId val="0"/>
        </cx:series>
        <cx:series layoutId="funnel" hidden="1" uniqueId="{93BE5D96-F624-4982-994C-2AAC64B688C3}" formatIdx="1">
          <cx:tx>
            <cx:txData>
              <cx:f>_xlchart.v2.3</cx:f>
              <cx:v>Azienda</cx:v>
            </cx:txData>
          </cx:tx>
          <cx:dataLabels>
            <cx:visibility seriesName="0" categoryName="0" value="1"/>
          </cx:dataLabels>
          <cx:dataId val="1"/>
        </cx:series>
      </cx:plotAreaRegion>
      <cx:axis id="0">
        <cx:catScaling gapWidth="0.0599999987"/>
        <cx:title>
          <cx:tx>
            <cx:txData>
              <cx:v>PRODOTTI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it-IT" sz="900" b="0" i="0" u="none" strike="noStrike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Arial"/>
                  <a:cs typeface="Arial"/>
                </a:rPr>
                <a:t>PRODOTTI</a:t>
              </a:r>
            </a:p>
          </cx:txPr>
        </cx:title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205740</xdr:colOff>
      <xdr:row>15</xdr:row>
      <xdr:rowOff>129540</xdr:rowOff>
    </xdr:from>
    <xdr:to>
      <xdr:col>8</xdr:col>
      <xdr:colOff>685800</xdr:colOff>
      <xdr:row>28</xdr:row>
      <xdr:rowOff>190500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Grafico 1">
              <a:extLst>
                <a:ext uri="{FF2B5EF4-FFF2-40B4-BE49-F238E27FC236}">
                  <a16:creationId xmlns:a16="http://schemas.microsoft.com/office/drawing/2014/main" id="{5EB3EC93-B4BF-AC41-94BD-23D0376FF4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48300" y="2804160"/>
              <a:ext cx="3436620" cy="2636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5</xdr:col>
      <xdr:colOff>205740</xdr:colOff>
      <xdr:row>0</xdr:row>
      <xdr:rowOff>0</xdr:rowOff>
    </xdr:from>
    <xdr:to>
      <xdr:col>8</xdr:col>
      <xdr:colOff>0</xdr:colOff>
      <xdr:row>15</xdr:row>
      <xdr:rowOff>114294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641D5AB5-F7D7-7458-7FE6-220AA68FEE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4B9464-9CB0-49AA-8C14-44BA5397049F}" name="Tabella1" displayName="Tabella1" ref="A1:E11" headerRowDxfId="21" tableBorderDxfId="20">
  <autoFilter ref="A1:E11" xr:uid="{4E4B9464-9CB0-49AA-8C14-44BA5397049F}"/>
  <sortState xmlns:xlrd2="http://schemas.microsoft.com/office/spreadsheetml/2017/richdata2" ref="A2:E11">
    <sortCondition ref="A1:A11"/>
  </sortState>
  <tableColumns count="5">
    <tableColumn id="1" xr3:uid="{1D208BB7-F97C-43E5-A3BE-BCC24A243EC7}" name="Azienda" totalsRowLabel="Totale" dataDxfId="19" totalsRowDxfId="18"/>
    <tableColumn id="2" xr3:uid="{D653ED1F-DD6B-4C67-BB7C-31C866670EDC}" name="Prodotto" dataDxfId="17" totalsRowDxfId="16"/>
    <tableColumn id="3" xr3:uid="{6B2EE57A-931A-4BF7-830B-4C9F9A83E50A}" name="Quantità" dataDxfId="15" totalsRowDxfId="14"/>
    <tableColumn id="4" xr3:uid="{35231F20-0269-435A-BAD6-3CA8FAA4268A}" name="Prezzo" dataDxfId="13" totalsRowDxfId="12"/>
    <tableColumn id="5" xr3:uid="{D7045958-3417-4F06-A4C0-80A3DB45B6FB}" name="Totale" totalsRowFunction="sum" dataDxfId="11" totalsRowDxfId="10">
      <calculatedColumnFormula>C2*D2</calculatedColumnFormula>
    </tableColumn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28DB1E0-CE31-4155-B358-90ACA316B7F9}" name="Tabella7" displayName="Tabella7" ref="A13:C17" totalsRowShown="0" headerRowDxfId="9" headerRowBorderDxfId="8" tableBorderDxfId="7" totalsRowBorderDxfId="6">
  <autoFilter ref="A13:C17" xr:uid="{428DB1E0-CE31-4155-B358-90ACA316B7F9}"/>
  <tableColumns count="3">
    <tableColumn id="1" xr3:uid="{9AFBCF47-5F89-4F9B-9DE3-C5E408BFB8EC}" name="Azienda"/>
    <tableColumn id="2" xr3:uid="{542A6F0F-F89D-4926-954D-92B95795DF80}" name="Spesa Tot." dataDxfId="5">
      <calculatedColumnFormula>SUMIF(Tabella1[Azienda],A14,Tabella1[Totale])</calculatedColumnFormula>
    </tableColumn>
    <tableColumn id="3" xr3:uid="{F66F560B-3CFF-4EE3-BCD9-7A8E10E75BDD}" name="Prodotti per azienda" dataDxfId="4">
      <calculatedColumnFormula array="1">_xlfn.TEXTJOIN(", ", TRUE, _xlfn._xlws.FILTER(Tabella1[Prodotto], Tabella1[Azienda] = Tabella7[[#This Row],[Azienda]]))</calculatedColumnFormula>
    </tableColumn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0B6E4BF-1A76-4396-8AA1-C2AFD0BBE11B}" name="Tabella8" displayName="Tabella8" ref="A19:C29" totalsRowShown="0" tableBorderDxfId="3">
  <autoFilter ref="A19:C29" xr:uid="{90B6E4BF-1A76-4396-8AA1-C2AFD0BBE11B}"/>
  <tableColumns count="3">
    <tableColumn id="1" xr3:uid="{A5A0BCC7-64B4-428D-9563-A776BB7E15A0}" name="Prodotto" dataDxfId="2"/>
    <tableColumn id="2" xr3:uid="{0214CED0-A0AE-44F8-A893-464C304E2FAA}" name="Quantità" dataDxfId="1"/>
    <tableColumn id="3" xr3:uid="{F0DD0411-C393-43DB-B7CB-B070DD859F24}" name="Aziend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J29"/>
  <sheetViews>
    <sheetView tabSelected="1" zoomScaleNormal="100" workbookViewId="0">
      <selection activeCell="L17" sqref="L17"/>
    </sheetView>
  </sheetViews>
  <sheetFormatPr defaultColWidth="12.6640625" defaultRowHeight="15.75" customHeight="1" x14ac:dyDescent="0.25"/>
  <cols>
    <col min="1" max="1" width="18.44140625" bestFit="1" customWidth="1"/>
    <col min="2" max="2" width="13.33203125" style="23" bestFit="1" customWidth="1"/>
    <col min="3" max="3" width="23" customWidth="1"/>
    <col min="4" max="4" width="9.6640625" customWidth="1"/>
    <col min="5" max="5" width="12" bestFit="1" customWidth="1"/>
    <col min="6" max="6" width="11.5546875" bestFit="1" customWidth="1"/>
    <col min="7" max="7" width="18.44140625" bestFit="1" customWidth="1"/>
    <col min="8" max="8" width="13.109375" customWidth="1"/>
    <col min="9" max="9" width="11.33203125" bestFit="1" customWidth="1"/>
    <col min="10" max="16" width="11.33203125" customWidth="1"/>
    <col min="17" max="17" width="53.5546875" customWidth="1"/>
  </cols>
  <sheetData>
    <row r="1" spans="1:36" ht="14.4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Q1" s="2" t="s">
        <v>21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13.2" customHeight="1" x14ac:dyDescent="0.25">
      <c r="A2" s="6" t="s">
        <v>12</v>
      </c>
      <c r="B2" s="6" t="s">
        <v>13</v>
      </c>
      <c r="C2" s="7">
        <v>700</v>
      </c>
      <c r="D2" s="17">
        <v>18.75</v>
      </c>
      <c r="E2" s="18">
        <f t="shared" ref="E2:E11" si="0">C2*D2</f>
        <v>13125</v>
      </c>
      <c r="Q2" s="30" t="s">
        <v>22</v>
      </c>
    </row>
    <row r="3" spans="1:36" ht="13.2" x14ac:dyDescent="0.25">
      <c r="A3" s="6" t="s">
        <v>12</v>
      </c>
      <c r="B3" s="6" t="s">
        <v>14</v>
      </c>
      <c r="C3" s="7">
        <v>900</v>
      </c>
      <c r="D3" s="17">
        <v>14</v>
      </c>
      <c r="E3" s="18">
        <f t="shared" si="0"/>
        <v>12600</v>
      </c>
      <c r="Q3" s="31"/>
    </row>
    <row r="4" spans="1:36" ht="13.2" x14ac:dyDescent="0.25">
      <c r="A4" s="6" t="s">
        <v>12</v>
      </c>
      <c r="B4" s="6" t="s">
        <v>16</v>
      </c>
      <c r="C4" s="7">
        <v>600</v>
      </c>
      <c r="D4" s="17">
        <v>20</v>
      </c>
      <c r="E4" s="18">
        <f t="shared" si="0"/>
        <v>12000</v>
      </c>
      <c r="Q4" s="31"/>
    </row>
    <row r="5" spans="1:36" ht="13.2" x14ac:dyDescent="0.25">
      <c r="A5" s="6" t="s">
        <v>17</v>
      </c>
      <c r="B5" s="6" t="s">
        <v>18</v>
      </c>
      <c r="C5" s="7">
        <v>1000</v>
      </c>
      <c r="D5" s="17">
        <v>13.5</v>
      </c>
      <c r="E5" s="18">
        <f t="shared" si="0"/>
        <v>13500</v>
      </c>
      <c r="Q5" s="31"/>
    </row>
    <row r="6" spans="1:36" ht="13.2" x14ac:dyDescent="0.25">
      <c r="A6" s="9" t="s">
        <v>8</v>
      </c>
      <c r="B6" s="6" t="s">
        <v>9</v>
      </c>
      <c r="C6" s="7">
        <v>800</v>
      </c>
      <c r="D6" s="17">
        <v>12.25</v>
      </c>
      <c r="E6" s="18">
        <f t="shared" si="0"/>
        <v>9800</v>
      </c>
      <c r="G6" s="8"/>
      <c r="H6" s="8"/>
      <c r="Q6" s="31"/>
    </row>
    <row r="7" spans="1:36" ht="13.2" x14ac:dyDescent="0.25">
      <c r="A7" s="9" t="s">
        <v>8</v>
      </c>
      <c r="B7" s="6" t="s">
        <v>11</v>
      </c>
      <c r="C7" s="7">
        <v>1500</v>
      </c>
      <c r="D7" s="17">
        <v>6.5</v>
      </c>
      <c r="E7" s="18">
        <f t="shared" si="0"/>
        <v>9750</v>
      </c>
      <c r="Q7" s="31"/>
    </row>
    <row r="8" spans="1:36" ht="13.8" thickBot="1" x14ac:dyDescent="0.3">
      <c r="A8" s="6" t="s">
        <v>8</v>
      </c>
      <c r="B8" s="6" t="s">
        <v>15</v>
      </c>
      <c r="C8" s="7">
        <v>1100</v>
      </c>
      <c r="D8" s="17">
        <v>10.5</v>
      </c>
      <c r="E8" s="18">
        <f t="shared" si="0"/>
        <v>11550</v>
      </c>
      <c r="Q8" s="32"/>
    </row>
    <row r="9" spans="1:36" ht="13.8" thickBot="1" x14ac:dyDescent="0.3">
      <c r="A9" s="9" t="s">
        <v>5</v>
      </c>
      <c r="B9" s="6" t="s">
        <v>6</v>
      </c>
      <c r="C9" s="7">
        <v>500</v>
      </c>
      <c r="D9" s="19">
        <v>15.75</v>
      </c>
      <c r="E9" s="18">
        <f t="shared" si="0"/>
        <v>7875</v>
      </c>
      <c r="Q9" s="3"/>
    </row>
    <row r="10" spans="1:36" ht="13.8" thickBot="1" x14ac:dyDescent="0.3">
      <c r="A10" s="9" t="s">
        <v>5</v>
      </c>
      <c r="B10" s="6" t="s">
        <v>7</v>
      </c>
      <c r="C10" s="7">
        <v>1200</v>
      </c>
      <c r="D10" s="17">
        <v>8.5</v>
      </c>
      <c r="E10" s="18">
        <f t="shared" si="0"/>
        <v>10200</v>
      </c>
      <c r="Q10" s="2" t="s">
        <v>19</v>
      </c>
    </row>
    <row r="11" spans="1:36" ht="13.2" customHeight="1" x14ac:dyDescent="0.25">
      <c r="A11" s="9" t="s">
        <v>5</v>
      </c>
      <c r="B11" s="6" t="s">
        <v>10</v>
      </c>
      <c r="C11" s="7">
        <v>300</v>
      </c>
      <c r="D11" s="17">
        <v>25</v>
      </c>
      <c r="E11" s="18">
        <f t="shared" si="0"/>
        <v>7500</v>
      </c>
      <c r="Q11" s="24" t="s">
        <v>23</v>
      </c>
    </row>
    <row r="12" spans="1:36" ht="15.75" customHeight="1" x14ac:dyDescent="0.25">
      <c r="F12" s="9"/>
      <c r="I12" s="9"/>
      <c r="J12" s="9"/>
      <c r="K12" s="9"/>
      <c r="L12" s="9"/>
      <c r="M12" s="9"/>
      <c r="N12" s="9"/>
      <c r="O12" s="9"/>
      <c r="P12" s="9"/>
      <c r="Q12" s="25"/>
    </row>
    <row r="13" spans="1:36" ht="15.75" customHeight="1" thickBot="1" x14ac:dyDescent="0.3">
      <c r="A13" s="12" t="s">
        <v>0</v>
      </c>
      <c r="B13" s="12" t="s">
        <v>25</v>
      </c>
      <c r="C13" s="16" t="s">
        <v>26</v>
      </c>
      <c r="F13" s="9"/>
      <c r="I13" s="9"/>
      <c r="J13" s="9"/>
      <c r="K13" s="9"/>
      <c r="L13" s="9"/>
      <c r="M13" s="9"/>
      <c r="N13" s="9"/>
      <c r="O13" s="9"/>
      <c r="P13" s="9"/>
      <c r="Q13" s="26"/>
    </row>
    <row r="14" spans="1:36" ht="15.75" customHeight="1" thickBot="1" x14ac:dyDescent="0.3">
      <c r="A14" s="10" t="s">
        <v>5</v>
      </c>
      <c r="B14" s="20">
        <f>SUMIF(Tabella1[Azienda],A14,Tabella1[Totale])</f>
        <v>25575</v>
      </c>
      <c r="C14" t="str" cm="1">
        <f t="array" ref="C14">_xlfn.TEXTJOIN(", ", TRUE, _xlfn._xlws.FILTER(Tabella1[Prodotto], Tabella1[Azienda] = Tabella7[[#This Row],[Azienda]]))</f>
        <v>Tecnologia, Cibo, Quanti</v>
      </c>
      <c r="F14" s="9"/>
      <c r="I14" s="9"/>
      <c r="J14" s="9"/>
      <c r="K14" s="9"/>
      <c r="L14" s="9"/>
      <c r="M14" s="9"/>
      <c r="N14" s="9"/>
      <c r="O14" s="9"/>
      <c r="P14" s="9"/>
    </row>
    <row r="15" spans="1:36" ht="15.75" customHeight="1" thickBot="1" x14ac:dyDescent="0.3">
      <c r="A15" s="11" t="s">
        <v>8</v>
      </c>
      <c r="B15" s="21">
        <f>SUMIF(Tabella1[Azienda],A15,Tabella1[Totale])</f>
        <v>31100</v>
      </c>
      <c r="C15" t="str" cm="1">
        <f t="array" ref="C15">_xlfn.TEXTJOIN(", ", TRUE, _xlfn._xlws.FILTER(Tabella1[Prodotto], Tabella1[Azienda] = Tabella7[[#This Row],[Azienda]]))</f>
        <v>Pannelli, Infinito, Orizzonte</v>
      </c>
      <c r="F15" s="9"/>
      <c r="I15" s="9"/>
      <c r="J15" s="9"/>
      <c r="K15" s="9"/>
      <c r="L15" s="9"/>
      <c r="M15" s="9"/>
      <c r="N15" s="9"/>
      <c r="O15" s="9"/>
      <c r="P15" s="9"/>
      <c r="Q15" s="2" t="s">
        <v>20</v>
      </c>
    </row>
    <row r="16" spans="1:36" ht="15.75" customHeight="1" x14ac:dyDescent="0.25">
      <c r="A16" s="10" t="s">
        <v>12</v>
      </c>
      <c r="B16" s="20">
        <f>SUMIF(Tabella1[Azienda],A16,Tabella1[Totale])</f>
        <v>37725</v>
      </c>
      <c r="C16" t="str" cm="1">
        <f t="array" ref="C16">_xlfn.TEXTJOIN(", ", TRUE, _xlfn._xlws.FILTER(Tabella1[Prodotto], Tabella1[Azienda] = Tabella7[[#This Row],[Azienda]]))</f>
        <v>Crema, Acqua, Pianeta</v>
      </c>
      <c r="F16" s="9"/>
      <c r="I16" s="9"/>
      <c r="J16" s="9"/>
      <c r="K16" s="9"/>
      <c r="L16" s="9"/>
      <c r="M16" s="9"/>
      <c r="N16" s="9"/>
      <c r="O16" s="9"/>
      <c r="P16" s="9"/>
      <c r="Q16" s="27" t="s">
        <v>24</v>
      </c>
    </row>
    <row r="17" spans="1:17" ht="15.75" customHeight="1" x14ac:dyDescent="0.25">
      <c r="A17" s="13" t="s">
        <v>17</v>
      </c>
      <c r="B17" s="22">
        <f>SUMIF(Tabella1[Azienda],A17,Tabella1[Totale])</f>
        <v>13500</v>
      </c>
      <c r="C17" t="str" cm="1">
        <f t="array" ref="C17">_xlfn.TEXTJOIN(", ", TRUE, _xlfn._xlws.FILTER(Tabella1[Prodotto], Tabella1[Azienda] = Tabella7[[#This Row],[Azienda]]))</f>
        <v>Vibrazione</v>
      </c>
      <c r="F17" s="9"/>
      <c r="I17" s="9"/>
      <c r="J17" s="9"/>
      <c r="K17" s="9"/>
      <c r="L17" s="9"/>
      <c r="M17" s="9"/>
      <c r="N17" s="9"/>
      <c r="O17" s="9"/>
      <c r="P17" s="9"/>
      <c r="Q17" s="28"/>
    </row>
    <row r="18" spans="1:17" ht="15.75" customHeight="1" x14ac:dyDescent="0.25">
      <c r="Q18" s="28"/>
    </row>
    <row r="19" spans="1:17" ht="15.75" customHeight="1" x14ac:dyDescent="0.25">
      <c r="A19" t="s">
        <v>1</v>
      </c>
      <c r="B19" s="23" t="s">
        <v>2</v>
      </c>
      <c r="C19" t="s">
        <v>0</v>
      </c>
      <c r="Q19" s="28"/>
    </row>
    <row r="20" spans="1:17" ht="15.75" customHeight="1" thickBot="1" x14ac:dyDescent="0.3">
      <c r="A20" s="15" t="s">
        <v>13</v>
      </c>
      <c r="B20" s="14">
        <v>700</v>
      </c>
      <c r="C20" s="15" t="s">
        <v>12</v>
      </c>
      <c r="Q20" s="29"/>
    </row>
    <row r="21" spans="1:17" ht="15.75" customHeight="1" x14ac:dyDescent="0.25">
      <c r="A21" s="15" t="s">
        <v>14</v>
      </c>
      <c r="B21" s="14">
        <v>900</v>
      </c>
      <c r="C21" s="15" t="s">
        <v>12</v>
      </c>
    </row>
    <row r="22" spans="1:17" ht="15.75" customHeight="1" x14ac:dyDescent="0.25">
      <c r="A22" s="15" t="s">
        <v>16</v>
      </c>
      <c r="B22" s="14">
        <v>600</v>
      </c>
      <c r="C22" s="15" t="s">
        <v>12</v>
      </c>
    </row>
    <row r="23" spans="1:17" ht="15.75" customHeight="1" x14ac:dyDescent="0.25">
      <c r="A23" s="15" t="s">
        <v>18</v>
      </c>
      <c r="B23" s="14">
        <v>1000</v>
      </c>
      <c r="C23" s="15" t="s">
        <v>17</v>
      </c>
    </row>
    <row r="24" spans="1:17" ht="15.75" customHeight="1" x14ac:dyDescent="0.25">
      <c r="A24" s="15" t="s">
        <v>9</v>
      </c>
      <c r="B24" s="14">
        <v>800</v>
      </c>
      <c r="C24" s="15" t="s">
        <v>8</v>
      </c>
    </row>
    <row r="25" spans="1:17" ht="15.75" customHeight="1" x14ac:dyDescent="0.25">
      <c r="A25" s="15" t="s">
        <v>11</v>
      </c>
      <c r="B25" s="14">
        <v>1500</v>
      </c>
      <c r="C25" s="15" t="s">
        <v>8</v>
      </c>
    </row>
    <row r="26" spans="1:17" ht="15.75" customHeight="1" x14ac:dyDescent="0.25">
      <c r="A26" s="15" t="s">
        <v>15</v>
      </c>
      <c r="B26" s="14">
        <v>1100</v>
      </c>
      <c r="C26" s="15" t="s">
        <v>8</v>
      </c>
    </row>
    <row r="27" spans="1:17" ht="15.75" customHeight="1" x14ac:dyDescent="0.25">
      <c r="A27" s="15" t="s">
        <v>6</v>
      </c>
      <c r="B27" s="14">
        <v>500</v>
      </c>
      <c r="C27" s="15" t="s">
        <v>5</v>
      </c>
    </row>
    <row r="28" spans="1:17" ht="15.75" customHeight="1" x14ac:dyDescent="0.25">
      <c r="A28" s="15" t="s">
        <v>7</v>
      </c>
      <c r="B28" s="14">
        <v>1200</v>
      </c>
      <c r="C28" s="15" t="s">
        <v>5</v>
      </c>
    </row>
    <row r="29" spans="1:17" ht="15.75" customHeight="1" x14ac:dyDescent="0.25">
      <c r="A29" s="15" t="s">
        <v>10</v>
      </c>
      <c r="B29" s="14">
        <v>300</v>
      </c>
      <c r="C29" s="15" t="s">
        <v>5</v>
      </c>
    </row>
  </sheetData>
  <mergeCells count="3">
    <mergeCell ref="Q11:Q13"/>
    <mergeCell ref="Q16:Q20"/>
    <mergeCell ref="Q2:Q8"/>
  </mergeCells>
  <printOptions horizontalCentered="1" verticalCentered="1" headings="1"/>
  <pageMargins left="0.19685039370078741" right="0.19685039370078741" top="0.39370078740157483" bottom="0.39370078740157483" header="0.31496062992125984" footer="0.31496062992125984"/>
  <pageSetup paperSize="9" orientation="portrait" r:id="rId1"/>
  <headerFooter>
    <oddHeader>&amp;L&amp;A&amp;C&amp;"-,Grassetto"Spese Recenti&amp;R&amp;D</oddHeader>
    <oddFooter>&amp;CTabelle &amp; Grafici&amp;R&amp;P/&amp;N</oddFooter>
  </headerFooter>
  <rowBreaks count="1" manualBreakCount="1">
    <brk id="29" max="16383" man="1"/>
  </rowBreaks>
  <colBreaks count="2" manualBreakCount="2">
    <brk id="5" max="1048575" man="1"/>
    <brk id="17" max="1048575" man="1"/>
  </colBreaks>
  <drawing r:id="rId2"/>
  <tableParts count="3"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Prodotti</vt:lpstr>
      <vt:lpstr>Prodotti!Area_stampa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 Pagano</cp:lastModifiedBy>
  <cp:lastPrinted>2026-04-14T18:16:43Z</cp:lastPrinted>
  <dcterms:modified xsi:type="dcterms:W3CDTF">2026-04-21T13:14:35Z</dcterms:modified>
</cp:coreProperties>
</file>