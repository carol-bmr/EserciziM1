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3965ca6def52ccf6/Desktop/Epicode/Esercizi/4° Settimana_M4/"/>
    </mc:Choice>
  </mc:AlternateContent>
  <xr:revisionPtr revIDLastSave="400" documentId="11_F25DC773A252ABDACC104889D1DF7C985ADE58EF" xr6:coauthVersionLast="47" xr6:coauthVersionMax="47" xr10:uidLastSave="{1277CBC8-23DB-409F-BC51-983E06F86CB4}"/>
  <bookViews>
    <workbookView xWindow="-108" yWindow="-108" windowWidth="23256" windowHeight="12456" xr2:uid="{00000000-000D-0000-FFFF-FFFF00000000}"/>
  </bookViews>
  <sheets>
    <sheet name="Definitivo" sheetId="5" r:id="rId1"/>
    <sheet name="Pivot" sheetId="6" r:id="rId2"/>
    <sheet name="Continenti" sheetId="4" r:id="rId3"/>
    <sheet name="Principale" sheetId="2" r:id="rId4"/>
  </sheets>
  <definedNames>
    <definedName name="DatiEsterni_1" localSheetId="2" hidden="1">'Continenti'!$A$1:$B$314</definedName>
    <definedName name="DatiEsterni_1" localSheetId="3" hidden="1">Principale!$A$1:$J$154</definedName>
    <definedName name="DatiEsterni_2" localSheetId="0" hidden="1">Definitivo!$A$1:$K$154</definedName>
    <definedName name="FiltroDati_Country_Name">#N/A</definedName>
    <definedName name="FiltroDati_Series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A9E6F2-2465-460B-991D-F39CA8DBF39A}" keepAlive="1" name="Query - Continenti" description="Connessione alla query 'Continenti' nella cartella di lavoro." type="5" refreshedVersion="8" background="1" saveData="1">
    <dbPr connection="Provider=Microsoft.Mashup.OleDb.1;Data Source=$Workbook$;Location=Continenti;Extended Properties=&quot;&quot;" command="SELECT * FROM [Continenti]"/>
  </connection>
  <connection id="2" xr16:uid="{74E28A94-C724-4993-B8F5-DBF0F28965F9}" keepAlive="1" name="Query - Definitivo" description="Connessione alla query 'Definitivo' nella cartella di lavoro." type="5" refreshedVersion="8" background="1" saveData="1">
    <dbPr connection="Provider=Microsoft.Mashup.OleDb.1;Data Source=$Workbook$;Location=Definitivo;Extended Properties=&quot;&quot;" command="SELECT * FROM [Definitivo]"/>
  </connection>
  <connection id="3" xr16:uid="{C4A25283-3DB7-45F7-AFEC-B95D424AFBA5}" keepAlive="1" name="Query - Principale" description="Connessione alla query 'Principale' nella cartella di lavoro." type="5" refreshedVersion="8" background="1" saveData="1">
    <dbPr connection="Provider=Microsoft.Mashup.OleDb.1;Data Source=$Workbook$;Location=Principale;Extended Properties=&quot;&quot;" command="SELECT * FROM [Principale]"/>
  </connection>
</connections>
</file>

<file path=xl/sharedStrings.xml><?xml version="1.0" encoding="utf-8"?>
<sst xmlns="http://schemas.openxmlformats.org/spreadsheetml/2006/main" count="2066" uniqueCount="413">
  <si>
    <t>Country Name</t>
  </si>
  <si>
    <t>Country Code</t>
  </si>
  <si>
    <t>Series Name</t>
  </si>
  <si>
    <t>Series Code</t>
  </si>
  <si>
    <t>2000 [YR2000]</t>
  </si>
  <si>
    <t>2001 [YR2001]</t>
  </si>
  <si>
    <t>2002 [YR2002]</t>
  </si>
  <si>
    <t>2022 [YR2022]</t>
  </si>
  <si>
    <t>2023 [YR2023]</t>
  </si>
  <si>
    <t>2024 [YR2024]</t>
  </si>
  <si>
    <t>Italy</t>
  </si>
  <si>
    <t>ITA</t>
  </si>
  <si>
    <t>GDP per capita (current US$)</t>
  </si>
  <si>
    <t>NY.GDP.PCAP.CD</t>
  </si>
  <si>
    <t>Current health expenditure (% of GDP)</t>
  </si>
  <si>
    <t>SH.XPD.CHEX.GD.ZS</t>
  </si>
  <si>
    <t>Life expectancy at birth, total (years)</t>
  </si>
  <si>
    <t>SP.DYN.LE00.IN</t>
  </si>
  <si>
    <t>Carbon dioxide (CO2) emissions from Building (Energy) (Mt CO2e)</t>
  </si>
  <si>
    <t>EN.GHG.CO2.BU.MT.CE.AR5</t>
  </si>
  <si>
    <t>Carbon dioxide (CO2) emissions from Transport (Energy) (Mt CO2e)</t>
  </si>
  <si>
    <t>EN.GHG.CO2.TR.MT.CE.AR5</t>
  </si>
  <si>
    <t>Carbon dioxide (CO2) emissions from Industrial Processes (Mt CO2e)</t>
  </si>
  <si>
    <t>EN.GHG.CO2.IP.MT.CE.AR5</t>
  </si>
  <si>
    <t>Carbon dioxide (CO2) emissions from Agriculture (Mt CO2e)</t>
  </si>
  <si>
    <t>EN.GHG.CO2.AG.MT.CE.AR5</t>
  </si>
  <si>
    <t>Carbon dioxide (CO2) emissions from Waste (Mt CO2e)</t>
  </si>
  <si>
    <t>EN.GHG.CO2.WA.MT.CE.AR5</t>
  </si>
  <si>
    <t>Carbon dioxide (CO2) emissions (total) excluding LULUCF (Mt CO2e)</t>
  </si>
  <si>
    <t>EN.GHG.CO2.MT.CE.AR5</t>
  </si>
  <si>
    <t>Arms exports (SIPRI trend indicator values)</t>
  </si>
  <si>
    <t>MS.MIL.XPRT.KD</t>
  </si>
  <si>
    <t>Arms imports (SIPRI trend indicator values)</t>
  </si>
  <si>
    <t>MS.MIL.MPRT.KD</t>
  </si>
  <si>
    <t>Military expenditure (current LCU)</t>
  </si>
  <si>
    <t>MS.MIL.XPND.CN</t>
  </si>
  <si>
    <t>Methane (CH4) emissions from Waste (Mt CO2e)</t>
  </si>
  <si>
    <t>EN.GHG.CH4.WA.MT.CE.AR5</t>
  </si>
  <si>
    <t>Nitrous oxide (N2O) emissions from Waste (Mt CO2e)</t>
  </si>
  <si>
    <t>EN.GHG.N2O.WA.MT.CE.AR5</t>
  </si>
  <si>
    <t>China</t>
  </si>
  <si>
    <t>CHN</t>
  </si>
  <si>
    <t>Viet Nam</t>
  </si>
  <si>
    <t>VNM</t>
  </si>
  <si>
    <t>Brazil</t>
  </si>
  <si>
    <t>BRA</t>
  </si>
  <si>
    <t>Germany</t>
  </si>
  <si>
    <t>DEU</t>
  </si>
  <si>
    <t>United States</t>
  </si>
  <si>
    <t>USA</t>
  </si>
  <si>
    <t>South Africa</t>
  </si>
  <si>
    <t>ZAF</t>
  </si>
  <si>
    <t>India</t>
  </si>
  <si>
    <t>IND</t>
  </si>
  <si>
    <t>Fragile and conflict affected situations</t>
  </si>
  <si>
    <t>FCS</t>
  </si>
  <si>
    <t>Australia</t>
  </si>
  <si>
    <t>AUS</t>
  </si>
  <si>
    <t>World</t>
  </si>
  <si>
    <t>WLD</t>
  </si>
  <si>
    <t>Maldives</t>
  </si>
  <si>
    <t>MDV</t>
  </si>
  <si>
    <t>Switzerland</t>
  </si>
  <si>
    <t>CHE</t>
  </si>
  <si>
    <t>Continente</t>
  </si>
  <si>
    <t>Afghanistan</t>
  </si>
  <si>
    <t>Asia</t>
  </si>
  <si>
    <t>Africa Eastern and Southern</t>
  </si>
  <si>
    <t>Africa</t>
  </si>
  <si>
    <t>Africa Western and Central</t>
  </si>
  <si>
    <t>Albania</t>
  </si>
  <si>
    <t>Europa</t>
  </si>
  <si>
    <t>Algeria</t>
  </si>
  <si>
    <t>American Samoa</t>
  </si>
  <si>
    <t>Oceania</t>
  </si>
  <si>
    <t>Andorra</t>
  </si>
  <si>
    <t>Angola</t>
  </si>
  <si>
    <t>Anguilla</t>
  </si>
  <si>
    <t>Nord America</t>
  </si>
  <si>
    <t>Antarctica</t>
  </si>
  <si>
    <t>Antartide</t>
  </si>
  <si>
    <t>Antigua and Barbuda</t>
  </si>
  <si>
    <t>Arab World</t>
  </si>
  <si>
    <t>Asia / Africa</t>
  </si>
  <si>
    <t>Area / Gruppo Geografico</t>
  </si>
  <si>
    <t>Area / Gruppo Socio-Economico</t>
  </si>
  <si>
    <t>Argentina</t>
  </si>
  <si>
    <t>Sud America</t>
  </si>
  <si>
    <t>Armenia</t>
  </si>
  <si>
    <t>Asia / Europa</t>
  </si>
  <si>
    <t>Aruba</t>
  </si>
  <si>
    <t>Austria</t>
  </si>
  <si>
    <t>Azerbaijan</t>
  </si>
  <si>
    <t>Bahamas</t>
  </si>
  <si>
    <t>Bahamas, The</t>
  </si>
  <si>
    <t>Bahrain</t>
  </si>
  <si>
    <t>Bangladesh</t>
  </si>
  <si>
    <t>Barbados</t>
  </si>
  <si>
    <t>Belarus</t>
  </si>
  <si>
    <t>Belgium</t>
  </si>
  <si>
    <t>Belize</t>
  </si>
  <si>
    <t>Benin</t>
  </si>
  <si>
    <t>Bermuda</t>
  </si>
  <si>
    <t>Bhutan</t>
  </si>
  <si>
    <t>Bolivia</t>
  </si>
  <si>
    <t>Bosnia and Herzegovina</t>
  </si>
  <si>
    <t>Botswana</t>
  </si>
  <si>
    <t>British Indian Ocean Territory</t>
  </si>
  <si>
    <t>British Virgin Islands</t>
  </si>
  <si>
    <t>Brunei Darussalam</t>
  </si>
  <si>
    <t>Bulgaria</t>
  </si>
  <si>
    <t>Burkina Faso</t>
  </si>
  <si>
    <t>Burundi</t>
  </si>
  <si>
    <t>Cabo Verde</t>
  </si>
  <si>
    <t>Cambodia</t>
  </si>
  <si>
    <t>Cameroon</t>
  </si>
  <si>
    <t>Canada</t>
  </si>
  <si>
    <t>Caribbean small states</t>
  </si>
  <si>
    <t>Cayman Islands</t>
  </si>
  <si>
    <t>Central African Republic</t>
  </si>
  <si>
    <t>Central Europe and the Baltics</t>
  </si>
  <si>
    <t>Chad</t>
  </si>
  <si>
    <t>Channel Islands</t>
  </si>
  <si>
    <t>Chile</t>
  </si>
  <si>
    <t>Christmas Island</t>
  </si>
  <si>
    <t>Cocos (Keeling) Islands</t>
  </si>
  <si>
    <t>Colombia</t>
  </si>
  <si>
    <t>Comoros</t>
  </si>
  <si>
    <t>Congo</t>
  </si>
  <si>
    <t>Congo, Dem. Rep.</t>
  </si>
  <si>
    <t>Congo, Democratic Republic of the</t>
  </si>
  <si>
    <t>Congo, Rep.</t>
  </si>
  <si>
    <t>Cook Islands</t>
  </si>
  <si>
    <t>Costa Rica</t>
  </si>
  <si>
    <t>Cote d'Ivoire</t>
  </si>
  <si>
    <t>Côte d'Ivoire</t>
  </si>
  <si>
    <t>Croatia</t>
  </si>
  <si>
    <t>Cuba</t>
  </si>
  <si>
    <t>Curacao</t>
  </si>
  <si>
    <t>Curaçao</t>
  </si>
  <si>
    <t>Cyprus</t>
  </si>
  <si>
    <t>Czechia</t>
  </si>
  <si>
    <t>Denmark</t>
  </si>
  <si>
    <t>Djibouti</t>
  </si>
  <si>
    <t>Dominica</t>
  </si>
  <si>
    <t>Dominican Republic</t>
  </si>
  <si>
    <t>Early-demographic dividend</t>
  </si>
  <si>
    <t>Mondo</t>
  </si>
  <si>
    <t>East Asia &amp; Pacific</t>
  </si>
  <si>
    <t>Asia / Oceania</t>
  </si>
  <si>
    <t>East Asia &amp; Pacific (excluding high income)</t>
  </si>
  <si>
    <t>East Asia &amp; Pacific (IDA &amp; IBRD countries)</t>
  </si>
  <si>
    <t>Ecuador</t>
  </si>
  <si>
    <t>Egypt</t>
  </si>
  <si>
    <t>Africa / Asia</t>
  </si>
  <si>
    <t>Egypt, Arab Rep.</t>
  </si>
  <si>
    <t>El Salvador</t>
  </si>
  <si>
    <t>Equatorial Guinea</t>
  </si>
  <si>
    <t>Eritrea</t>
  </si>
  <si>
    <t>Estonia</t>
  </si>
  <si>
    <t>Eswatini</t>
  </si>
  <si>
    <t>Ethiopia</t>
  </si>
  <si>
    <t>Euro area</t>
  </si>
  <si>
    <t>Europe &amp; Central Asia</t>
  </si>
  <si>
    <t>Europa / Asia</t>
  </si>
  <si>
    <t>Europe &amp; Central Asia (excluding high income)</t>
  </si>
  <si>
    <t>Europe &amp; Central Asia (IDA &amp; IBRD countries)</t>
  </si>
  <si>
    <t>European Union</t>
  </si>
  <si>
    <t>Falkland Islands (Malvinas)</t>
  </si>
  <si>
    <t>Faroe Islands</t>
  </si>
  <si>
    <t>Fiji</t>
  </si>
  <si>
    <t>Finland</t>
  </si>
  <si>
    <t>France</t>
  </si>
  <si>
    <t>French Guiana</t>
  </si>
  <si>
    <t>French Polynesia</t>
  </si>
  <si>
    <t>Gabon</t>
  </si>
  <si>
    <t>Gambia</t>
  </si>
  <si>
    <t>Gambia, The</t>
  </si>
  <si>
    <t>Georgia</t>
  </si>
  <si>
    <t>Ghana</t>
  </si>
  <si>
    <t>Gibraltar</t>
  </si>
  <si>
    <t>Greece</t>
  </si>
  <si>
    <t>Greenland</t>
  </si>
  <si>
    <t>Grenada</t>
  </si>
  <si>
    <t>Guadeloupe</t>
  </si>
  <si>
    <t>Guam</t>
  </si>
  <si>
    <t>Guatemala</t>
  </si>
  <si>
    <t>Guinea</t>
  </si>
  <si>
    <t>Guinea-Bissau</t>
  </si>
  <si>
    <t>Guyana</t>
  </si>
  <si>
    <t>Haiti</t>
  </si>
  <si>
    <t>Heavily indebted poor countries (HIPC)</t>
  </si>
  <si>
    <t>High income</t>
  </si>
  <si>
    <t>Holy See</t>
  </si>
  <si>
    <t>Honduras</t>
  </si>
  <si>
    <t>Hong Kong</t>
  </si>
  <si>
    <t>Hong Kong SAR, China</t>
  </si>
  <si>
    <t>Hungary</t>
  </si>
  <si>
    <t>IBRD only</t>
  </si>
  <si>
    <t>Iceland</t>
  </si>
  <si>
    <t>IDA &amp; IBRD total</t>
  </si>
  <si>
    <t>IDA blend</t>
  </si>
  <si>
    <t>IDA only</t>
  </si>
  <si>
    <t>IDA total</t>
  </si>
  <si>
    <t>Indonesia</t>
  </si>
  <si>
    <t>Iran</t>
  </si>
  <si>
    <t>Iran, Islamic Rep.</t>
  </si>
  <si>
    <t>Iraq</t>
  </si>
  <si>
    <t>Ireland</t>
  </si>
  <si>
    <t>Isle of Man</t>
  </si>
  <si>
    <t>Israel</t>
  </si>
  <si>
    <t>Jamaica</t>
  </si>
  <si>
    <t>Japan</t>
  </si>
  <si>
    <t>Jordan</t>
  </si>
  <si>
    <t>Kazakhstan</t>
  </si>
  <si>
    <t>Kenya</t>
  </si>
  <si>
    <t>Kiribati</t>
  </si>
  <si>
    <t>Korea (North)</t>
  </si>
  <si>
    <t>Korea (South)</t>
  </si>
  <si>
    <t>Korea, Dem. People's Rep.</t>
  </si>
  <si>
    <t>Korea, Rep.</t>
  </si>
  <si>
    <t>Kosovo</t>
  </si>
  <si>
    <t>Kuwait</t>
  </si>
  <si>
    <t>Kyrgyz Republic</t>
  </si>
  <si>
    <t>Kyrgyzstan</t>
  </si>
  <si>
    <t>Lao PDR</t>
  </si>
  <si>
    <t>Late-demographic dividend</t>
  </si>
  <si>
    <t>Latin America &amp; Caribbean</t>
  </si>
  <si>
    <t>Nord / Sud America</t>
  </si>
  <si>
    <t>Latin America &amp; Caribbean (excluding high income)</t>
  </si>
  <si>
    <t>Latin America &amp; the Caribbean (IDA &amp; IBRD countries)</t>
  </si>
  <si>
    <t>Latvia</t>
  </si>
  <si>
    <t>Least developed countries: UN classification</t>
  </si>
  <si>
    <t>Lebanon</t>
  </si>
  <si>
    <t>Lesotho</t>
  </si>
  <si>
    <t>Liberia</t>
  </si>
  <si>
    <t>Libya</t>
  </si>
  <si>
    <t>Liechtenstein</t>
  </si>
  <si>
    <t>Lithuania</t>
  </si>
  <si>
    <t>Low &amp; middle income</t>
  </si>
  <si>
    <t>Low income</t>
  </si>
  <si>
    <t>Lower middle income</t>
  </si>
  <si>
    <t>Luxembourg</t>
  </si>
  <si>
    <t>Macao</t>
  </si>
  <si>
    <t>Macao SAR, China</t>
  </si>
  <si>
    <t>Madagascar</t>
  </si>
  <si>
    <t>Malawi</t>
  </si>
  <si>
    <t>Malaysia</t>
  </si>
  <si>
    <t>Mali</t>
  </si>
  <si>
    <t>Malta</t>
  </si>
  <si>
    <t>Marshall Islands</t>
  </si>
  <si>
    <t>Martinique</t>
  </si>
  <si>
    <t>Mauritania</t>
  </si>
  <si>
    <t>Mauritius</t>
  </si>
  <si>
    <t>Mexico</t>
  </si>
  <si>
    <t>Micronesia</t>
  </si>
  <si>
    <t>Micronesia, Fed. Sts.</t>
  </si>
  <si>
    <t>Middle East &amp; North Africa</t>
  </si>
  <si>
    <t>Middle East, North Africa, Afghanistan &amp; Pakistan</t>
  </si>
  <si>
    <t>Middle East, North Africa, Afghanistan &amp; Pakistan (excluding high income)</t>
  </si>
  <si>
    <t>Middle East, North Africa, Afghanistan &amp; Pakistan (IDA &amp; IBRD)</t>
  </si>
  <si>
    <t>Middle income</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</si>
  <si>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</si>
  <si>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</si>
  <si>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</si>
  <si>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</si>
  <si>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</si>
  <si>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</si>
  <si>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</si>
  <si>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</si>
  <si>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</si>
  <si>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</si>
  <si>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</si>
  <si>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</si>
  <si>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</si>
  <si>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</si>
  <si>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</si>
  <si>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</si>
  <si>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</si>
  <si>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</si>
  <si>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North America</t>
  </si>
  <si>
    <t>North Macedonia</t>
  </si>
  <si>
    <t>Northern Mariana Islands</t>
  </si>
  <si>
    <t>Norway</t>
  </si>
  <si>
    <t>OECD members</t>
  </si>
  <si>
    <t>Oman</t>
  </si>
  <si>
    <t>Other small states</t>
  </si>
  <si>
    <t>Pacific island small states</t>
  </si>
  <si>
    <t>Pakistan</t>
  </si>
  <si>
    <t>Palau</t>
  </si>
  <si>
    <t>Panama</t>
  </si>
  <si>
    <t>Papua New Guinea</t>
  </si>
  <si>
    <t>Paraguay</t>
  </si>
  <si>
    <t>Peru</t>
  </si>
  <si>
    <t>Philippines</t>
  </si>
  <si>
    <t>Pitcairn</t>
  </si>
  <si>
    <t>Poland</t>
  </si>
  <si>
    <t>Portugal</t>
  </si>
  <si>
    <t>Post-demographic dividend</t>
  </si>
  <si>
    <t>Pre-demographic dividend</t>
  </si>
  <si>
    <t>Puerto Rico</t>
  </si>
  <si>
    <t>Puerto Rico (US)</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</si>
  <si>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</si>
  <si>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</si>
  <si>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</si>
  <si>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</si>
  <si>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</si>
  <si>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</si>
  <si>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</si>
  <si>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</si>
  <si>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</si>
  <si>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</si>
  <si>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</si>
  <si>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</si>
  <si>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</si>
  <si>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</si>
  <si>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</si>
  <si>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</si>
  <si>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</si>
  <si>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</si>
  <si>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</si>
  <si>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Sint Maarten (Dutch part)</t>
  </si>
  <si>
    <t>Slovak Republic</t>
  </si>
  <si>
    <t>Slovakia</t>
  </si>
  <si>
    <t>Slovenia</t>
  </si>
  <si>
    <t>Small states</t>
  </si>
  <si>
    <t>Solomon Islands</t>
  </si>
  <si>
    <t>Somalia</t>
  </si>
  <si>
    <t>Somalia, Fed. Rep.</t>
  </si>
  <si>
    <t>South Asia</t>
  </si>
  <si>
    <t>South Asia (IDA &amp; IBRD)</t>
  </si>
  <si>
    <t>South Sudan</t>
  </si>
  <si>
    <t>Spain</t>
  </si>
  <si>
    <t>Sri Lanka</t>
  </si>
  <si>
    <t>St. Kitts and Nevis</t>
  </si>
  <si>
    <t>St. Lucia</t>
  </si>
  <si>
    <t>St. Martin (French part)</t>
  </si>
  <si>
    <t>St. Vincent and the Grenadines</t>
  </si>
  <si>
    <t>Sub-Saharan Africa</t>
  </si>
  <si>
    <t>Sub-Saharan Africa (excluding high income)</t>
  </si>
  <si>
    <t>Sub-Saharan Africa (IDA &amp; IBRD countries)</t>
  </si>
  <si>
    <t>Sudan</t>
  </si>
  <si>
    <t>Suriname</t>
  </si>
  <si>
    <t>Sweden</t>
  </si>
  <si>
    <t>Syria</t>
  </si>
  <si>
    <t>Syrian Arab Republic</t>
  </si>
  <si>
    <t>Taiwan</t>
  </si>
  <si>
    <t>Tajikistan</t>
  </si>
  <si>
    <t>Tanzania</t>
  </si>
  <si>
    <t>Thailand</t>
  </si>
  <si>
    <t>Timor-Leste</t>
  </si>
  <si>
    <t>Togo</t>
  </si>
  <si>
    <t>Tokelau</t>
  </si>
  <si>
    <t>Tonga</t>
  </si>
  <si>
    <t>Trinidad and Tobago</t>
  </si>
  <si>
    <t>Tunisia</t>
  </si>
  <si>
    <t>Turkey</t>
  </si>
  <si>
    <t>Turkiye</t>
  </si>
  <si>
    <t>Turkmenistan</t>
  </si>
  <si>
    <t>Turks and Caicos Islands</t>
  </si>
  <si>
    <t>Tuvalu</t>
  </si>
  <si>
    <t>Uganda</t>
  </si>
  <si>
    <t>Ukraine</t>
  </si>
  <si>
    <t>United Arab Emirates</t>
  </si>
  <si>
    <t>United Kingdom</t>
  </si>
  <si>
    <t>United States Virgin Islands</t>
  </si>
  <si>
    <t>Upper middle income</t>
  </si>
  <si>
    <t>Uruguay</t>
  </si>
  <si>
    <t>Uzbekistan</t>
  </si>
  <si>
    <t>Vanuatu</t>
  </si>
  <si>
    <t>Venezuela</t>
  </si>
  <si>
    <t>Venezuela, RB</t>
  </si>
  <si>
    <t>Virgin Islands (U.S.)</t>
  </si>
  <si>
    <t>Wallis and Futuna</t>
  </si>
  <si>
    <t>West Bank and Gaza</t>
  </si>
  <si>
    <t>Yemen</t>
  </si>
  <si>
    <t>Yemen, Rep.</t>
  </si>
  <si>
    <t>Zambia</t>
  </si>
  <si>
    <t>Zimbabwe</t>
  </si>
  <si>
    <t>2000</t>
  </si>
  <si>
    <t>2001</t>
  </si>
  <si>
    <t>2002</t>
  </si>
  <si>
    <t>2022</t>
  </si>
  <si>
    <t>2023</t>
  </si>
  <si>
    <t>2024</t>
  </si>
  <si>
    <t>Etichette di riga</t>
  </si>
  <si>
    <t>Totale complessivo</t>
  </si>
  <si>
    <t>Media di 2000</t>
  </si>
  <si>
    <t>Media di 2001</t>
  </si>
  <si>
    <t>Media di 2002</t>
  </si>
  <si>
    <t>Media di 2022</t>
  </si>
  <si>
    <t>Media di 2023</t>
  </si>
  <si>
    <t>Media di 2024</t>
  </si>
  <si>
    <t>Media Per Continenti e Paesi</t>
  </si>
  <si>
    <t>Esercizio 1</t>
  </si>
  <si>
    <t>Esercizio 3</t>
  </si>
  <si>
    <t>Selezionate tutte le nazioni, tutte le series e gli ultimi 5 anni. Se il dataset dovesse rivelarsi troppo, Importate i dati in Power Pivot ed effettuate unʼesplorazione preliminare per definire delle caratteristiche generali del dataset che potranno poi servirvi, in particolare:
- Definite il formato dei dati presenti in ogni colonna. 
- Verificate la qualità del dataset: è necessaria una pulizia? Ci sono valori nulli?
- Effettuate un conteggio degli indicatori presenti nello colonna “Series nameˮ.
- Approfondite la colonna “Country nameˮ: quanti stati sono presenti? Quali? Sono presenti solo stati singoli o anche gruppi?</t>
  </si>
  <si>
    <t>Create una nuova colonna in cui calcolare il tasso di crescita di ogni indicatore per tutte le righe (differenza percentuale tra valore dellʼanno più lontano con il valore dellʼanno più recente).</t>
  </si>
  <si>
    <t>Esercizio 4</t>
  </si>
  <si>
    <t>Create una gerarchia per le colonne "Country Name" e "Series Name" ed implementate uno slicer per la gerarchia che permetta agli utenti di filtrare facilmente i dati per un paese e un indicatore specifico.</t>
  </si>
  <si>
    <t>Esercizio 5</t>
  </si>
  <si>
    <t>Create una misura che classifichi dinamicamente i paesi in base a un indicatore e un anno selezionato. Implementate uno slicer che consente agli utenti di passare tra una classificazione in ordine crescente e decrescente. Bonus: Consentite agli utenti di specificare dinamicamente il numero di paesi in alto o in basso da visualizzare.</t>
  </si>
  <si>
    <t>Esercizio 2</t>
  </si>
  <si>
    <t>Generate dei raggruppamenti per continente che includano i relativi stati (fatevi aiutare da google per la lista) e definite delle tabelle individuali per continente. Fatto questo, calcolate la media per ogni indicatore e confrontatela con i raggruppamenti già presenti nella tabella originale (ad esempio, confrontate i dati da voi calcolati con quelli presenti nelle righe codificate come “Country code = EUU").</t>
  </si>
  <si>
    <t>Esercizi W4</t>
  </si>
  <si>
    <t>Esercizi W4 - EXTRA</t>
  </si>
  <si>
    <t>Create una colonna calcolata che identifichi se l'indicatore selezionato di un paese è al di sopra o al di sotto della media globale. Costruite un grafico a barre dinamico utilizzando questa colonna calcolata, permettendo agli utenti di selezionare indicatori diversi e vedere come ogni paese si confronta con la media globale.</t>
  </si>
  <si>
    <t>Create una misura che identifichi dinamicamente i primi N paesi in base a un indicatore e un anno selezionato. Usate questa misura per generare una visualizzazione dinamica (ad esempio, un grafico a barre, una tabella) che mostri i primi N paesi per un indicatore e un anno scelti.</t>
  </si>
  <si>
    <t>Progettate e implementate una misura che valuti le prestazioni dell'indicatore selezionato di un paese rispetto a soglie predefinite (ad esempio, basso, medio, alto). Applicate una formattazione condizionale personalizzata a una tabella o a una visualizzazione a matrice per evidenziare i paesi in base ai livelli di prestazione.</t>
  </si>
  <si>
    <t>Sviluppate una misura che calcoli la tendenza lineare per un indicatore e un paese selezionati nel tempo. Utilizzate un grafico a dispersione o un grafico a linee per rappresentare visivamente la tendenza e analizzare la direzione generale dell'indicatore scelto.</t>
  </si>
  <si>
    <t>Create una tabella dei parametri contenente opzioni selezionabili dall'utente (ad esempio, indicatori, anni). utenti capacità di report interattive. Utilizzate questi parametri per controllare dinamicamente il contenuto di tabelle, grafici o altre visualizzazioni nel tuo report, fornendo agli utenti capacità di report interattive.</t>
  </si>
  <si>
    <t>Tasso Crescita dal 2000</t>
  </si>
  <si>
    <t>Tasso Crescita dal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</si>
</sst>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9" x14ac:knownFonts="1">
    <font>
      <sz val="11"/>
      <color theme="1"/>
      <name val="Calibri"/>
      <family val="2"/>
      <scheme val="minor"/>
    </font>
    <font>
      <b/>
      <sz val="11"/>
      <color theme="1"/>
      <name val="Calibri"/>
      <family val="2"/>
      <scheme val="minor"/>
    </font>
    <font>
      <sz val="8"/>
      <name val="Calibri"/>
      <family val="2"/>
      <scheme val="minor"/>
    </font>
    <font>
      <sz val="11"/>
      <color theme="1"/>
      <name val="Sitka Subheading"/>
    </font>
    <font>
      <b/>
      <sz val="14"/>
      <color theme="1"/>
      <name val="Sitka Subheading"/>
    </font>
    <font>
      <sz val="12"/>
      <color theme="1"/>
      <name val="Calibri"/>
      <family val="2"/>
      <scheme val="minor"/>
    </font>
    <font>
      <b/>
      <sz val="22"/>
      <color theme="2"/>
      <name val="Sitka Display"/>
    </font>
    <font>
      <b/>
      <sz val="20"/>
      <color theme="0"/>
      <name val="Sitka Subheading"/>
    </font>
    <font>
      <sz val="20"/>
      <color theme="1"/>
      <name val="Calibri"/>
      <family val="2"/>
      <scheme val="minor"/>
    </font>
  </fonts>
  <fills count="15">
    <fill>
      <patternFill patternType="none"/>
    </fill>
    <fill>
      <patternFill patternType="gray125"/>
    </fill>
    <fill>
      <patternFill patternType="solid">
        <fgColor theme="8" tint="-0.249977111117893"/>
        <bgColor indexed="64"/>
      </patternFill>
    </fill>
    <fill>
      <patternFill patternType="solid">
        <fgColor theme="5" tint="0.79998168889431442"/>
        <bgColor indexed="64"/>
      </patternFill>
    </fill>
    <fill>
      <patternFill patternType="solid">
        <fgColor rgb="FFFF7C80"/>
        <bgColor indexed="64"/>
      </patternFill>
    </fill>
    <fill>
      <patternFill patternType="solid">
        <fgColor rgb="FF92D050"/>
        <bgColor indexed="64"/>
      </patternFill>
    </fill>
    <fill>
      <patternFill patternType="solid">
        <fgColor rgb="FFCC99FF"/>
        <bgColor indexed="64"/>
      </patternFill>
    </fill>
    <fill>
      <patternFill patternType="solid">
        <fgColor rgb="FF00B050"/>
        <bgColor indexed="64"/>
      </patternFill>
    </fill>
    <fill>
      <patternFill patternType="solid">
        <fgColor rgb="FF00B0F0"/>
        <bgColor indexed="64"/>
      </patternFill>
    </fill>
    <fill>
      <patternFill patternType="solid">
        <fgColor rgb="FFC00000"/>
        <bgColor theme="9"/>
      </patternFill>
    </fill>
    <fill>
      <patternFill patternType="solid">
        <fgColor rgb="FFFFC000"/>
        <bgColor indexed="64"/>
      </patternFill>
    </fill>
    <fill>
      <patternFill patternType="solid">
        <fgColor rgb="FFF32DBF"/>
        <bgColor indexed="64"/>
      </patternFill>
    </fill>
    <fill>
      <patternFill patternType="solid">
        <fgColor rgb="FFF98239"/>
        <bgColor indexed="64"/>
      </patternFill>
    </fill>
    <fill>
      <patternFill patternType="solid">
        <fgColor rgb="FFFFD966"/>
        <bgColor indexed="64"/>
      </patternFill>
    </fill>
    <fill>
      <patternFill patternType="solid">
        <fgColor rgb="FF5B9BD5"/>
        <bgColor indexed="64"/>
      </patternFill>
    </fill>
  </fills>
  <borders count="28">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1"/>
      </left>
      <right/>
      <top/>
      <bottom/>
      <diagonal/>
    </border>
    <border>
      <left/>
      <right style="medium">
        <color theme="1"/>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theme="1"/>
      </top>
      <bottom/>
      <diagonal/>
    </border>
    <border>
      <left/>
      <right style="medium">
        <color indexed="64"/>
      </right>
      <top style="medium">
        <color theme="1"/>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29">
    <xf numFmtId="0" fontId="0" fillId="0" borderId="0" xfId="0"/>
    <xf numFmtId="2" fontId="0" fillId="0" borderId="0" xfId="0" applyNumberFormat="1"/>
    <xf numFmtId="0" fontId="0" fillId="0" borderId="0" xfId="0" applyAlignment="1">
      <alignment horizontal="left" vertical="center"/>
    </xf>
    <xf numFmtId="0" fontId="0" fillId="0" borderId="0" xfId="0" pivotButton="1"/>
    <xf numFmtId="0" fontId="0" fillId="0" borderId="0" xfId="0" applyAlignment="1">
      <alignment horizontal="left"/>
    </xf>
    <xf numFmtId="0" fontId="0" fillId="0" borderId="0" xfId="0" applyAlignment="1">
      <alignment vertical="center" wrapText="1"/>
    </xf>
    <xf numFmtId="0" fontId="5" fillId="0" borderId="0" xfId="0" applyFont="1" applyAlignment="1">
      <alignment horizontal="left" vertical="center" wrapText="1"/>
    </xf>
    <xf numFmtId="164" fontId="3" fillId="0" borderId="20" xfId="0" applyNumberFormat="1" applyFont="1" applyBorder="1" applyAlignment="1">
      <alignment horizontal="right" vertical="center"/>
    </xf>
    <xf numFmtId="0" fontId="8" fillId="0" borderId="0" xfId="0" applyFont="1" applyAlignment="1">
      <alignment horizontal="left" vertical="center" wrapText="1"/>
    </xf>
    <xf numFmtId="0" fontId="4" fillId="0" borderId="7" xfId="0" applyFont="1" applyBorder="1" applyAlignment="1">
      <alignment horizontal="left" vertical="center"/>
    </xf>
    <xf numFmtId="0" fontId="4" fillId="0" borderId="21" xfId="0" applyFont="1" applyBorder="1" applyAlignment="1">
      <alignment horizontal="left" vertical="center"/>
    </xf>
    <xf numFmtId="0" fontId="4" fillId="0" borderId="21" xfId="0" applyFont="1" applyBorder="1" applyAlignment="1">
      <alignment horizontal="center" vertical="center"/>
    </xf>
    <xf numFmtId="0" fontId="4" fillId="0" borderId="21" xfId="0" applyFont="1" applyBorder="1" applyAlignment="1">
      <alignment horizontal="left" vertical="center" wrapText="1"/>
    </xf>
    <xf numFmtId="0" fontId="3" fillId="0" borderId="20" xfId="0" applyFont="1" applyBorder="1" applyAlignment="1">
      <alignment horizontal="right" vertical="center"/>
    </xf>
    <xf numFmtId="0" fontId="4" fillId="0" borderId="22" xfId="0" applyFont="1" applyBorder="1" applyAlignment="1">
      <alignment horizontal="left" vertical="center"/>
    </xf>
    <xf numFmtId="0" fontId="3" fillId="0" borderId="20" xfId="0" applyFont="1" applyBorder="1" applyAlignment="1">
      <alignment horizontal="left" vertical="center"/>
    </xf>
    <xf numFmtId="0" fontId="3" fillId="0" borderId="20" xfId="0" applyFont="1" applyBorder="1" applyAlignment="1">
      <alignment horizontal="center" vertical="center"/>
    </xf>
    <xf numFmtId="0" fontId="3" fillId="0" borderId="0" xfId="0" applyFont="1" applyAlignment="1">
      <alignment horizontal="center" vertical="center"/>
    </xf>
    <xf numFmtId="0" fontId="3" fillId="0" borderId="26" xfId="0" applyFont="1" applyBorder="1" applyAlignment="1">
      <alignment horizontal="center" vertical="center"/>
    </xf>
    <xf numFmtId="0" fontId="3" fillId="0" borderId="25" xfId="0" applyFont="1" applyBorder="1" applyAlignment="1">
      <alignment horizontal="center" vertical="center"/>
    </xf>
    <xf numFmtId="0" fontId="3" fillId="0" borderId="25" xfId="0" applyFont="1" applyBorder="1" applyAlignment="1">
      <alignment horizontal="left" vertical="center"/>
    </xf>
    <xf numFmtId="0" fontId="3" fillId="0" borderId="25" xfId="0" applyFont="1" applyBorder="1" applyAlignment="1">
      <alignment horizontal="right" vertical="center"/>
    </xf>
    <xf numFmtId="164" fontId="3" fillId="0" borderId="25" xfId="0" applyNumberFormat="1" applyFont="1" applyBorder="1" applyAlignment="1">
      <alignment horizontal="right" vertical="center"/>
    </xf>
    <xf numFmtId="0" fontId="4" fillId="0" borderId="27" xfId="0" applyFont="1" applyBorder="1" applyAlignment="1">
      <alignment horizontal="left" vertical="center" wrapText="1"/>
    </xf>
    <xf numFmtId="0" fontId="0" fillId="5" borderId="1" xfId="0" applyFill="1" applyBorder="1" applyAlignment="1">
      <alignment horizontal="left" vertical="center" wrapText="1"/>
    </xf>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0" fontId="0" fillId="5" borderId="18" xfId="0" applyFill="1" applyBorder="1" applyAlignment="1">
      <alignment horizontal="left" vertical="center" wrapText="1"/>
    </xf>
    <xf numFmtId="0" fontId="0" fillId="5" borderId="0" xfId="0" applyFill="1" applyAlignment="1">
      <alignment horizontal="left" vertical="center" wrapText="1"/>
    </xf>
    <xf numFmtId="0" fontId="0" fillId="5" borderId="19"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0" fillId="14" borderId="1" xfId="0" applyFill="1" applyBorder="1" applyAlignment="1">
      <alignment horizontal="left" vertical="center" wrapText="1"/>
    </xf>
    <xf numFmtId="0" fontId="0" fillId="14" borderId="2" xfId="0" applyFill="1" applyBorder="1" applyAlignment="1">
      <alignment horizontal="left" vertical="center" wrapText="1"/>
    </xf>
    <xf numFmtId="0" fontId="0" fillId="14" borderId="3" xfId="0" applyFill="1" applyBorder="1" applyAlignment="1">
      <alignment horizontal="left" vertical="center" wrapText="1"/>
    </xf>
    <xf numFmtId="0" fontId="0" fillId="14" borderId="18" xfId="0" applyFill="1" applyBorder="1" applyAlignment="1">
      <alignment horizontal="left" vertical="center" wrapText="1"/>
    </xf>
    <xf numFmtId="0" fontId="0" fillId="14" borderId="0" xfId="0" applyFill="1" applyAlignment="1">
      <alignment horizontal="left" vertical="center" wrapText="1"/>
    </xf>
    <xf numFmtId="0" fontId="0" fillId="14" borderId="19" xfId="0" applyFill="1" applyBorder="1" applyAlignment="1">
      <alignment horizontal="left" vertical="center" wrapText="1"/>
    </xf>
    <xf numFmtId="0" fontId="0" fillId="14" borderId="4" xfId="0" applyFill="1" applyBorder="1" applyAlignment="1">
      <alignment horizontal="left" vertical="center" wrapText="1"/>
    </xf>
    <xf numFmtId="0" fontId="0" fillId="14" borderId="5" xfId="0" applyFill="1" applyBorder="1" applyAlignment="1">
      <alignment horizontal="left" vertical="center" wrapText="1"/>
    </xf>
    <xf numFmtId="0" fontId="0" fillId="14" borderId="6" xfId="0" applyFill="1" applyBorder="1" applyAlignment="1">
      <alignment horizontal="left" vertical="center" wrapText="1"/>
    </xf>
    <xf numFmtId="0" fontId="1" fillId="3" borderId="10" xfId="0" applyFont="1" applyFill="1" applyBorder="1" applyAlignment="1">
      <alignment horizontal="left" vertical="center"/>
    </xf>
    <xf numFmtId="0" fontId="1" fillId="3" borderId="11" xfId="0" applyFont="1" applyFill="1" applyBorder="1" applyAlignment="1">
      <alignment horizontal="left" vertical="center"/>
    </xf>
    <xf numFmtId="0" fontId="1" fillId="3" borderId="12" xfId="0" applyFont="1" applyFill="1" applyBorder="1" applyAlignment="1">
      <alignment horizontal="left" vertical="center"/>
    </xf>
    <xf numFmtId="0" fontId="1" fillId="3" borderId="7" xfId="0" applyFont="1" applyFill="1" applyBorder="1" applyAlignment="1">
      <alignment horizontal="left" vertical="center"/>
    </xf>
    <xf numFmtId="0" fontId="1" fillId="3" borderId="8" xfId="0" applyFont="1" applyFill="1" applyBorder="1" applyAlignment="1">
      <alignment horizontal="left" vertical="center"/>
    </xf>
    <xf numFmtId="0" fontId="1" fillId="3" borderId="9" xfId="0" applyFont="1" applyFill="1" applyBorder="1" applyAlignment="1">
      <alignment horizontal="left" vertical="center"/>
    </xf>
    <xf numFmtId="0" fontId="0" fillId="10" borderId="10" xfId="0" applyFill="1" applyBorder="1" applyAlignment="1">
      <alignment horizontal="left" vertical="center" wrapText="1"/>
    </xf>
    <xf numFmtId="0" fontId="0" fillId="10" borderId="11" xfId="0" applyFill="1" applyBorder="1" applyAlignment="1">
      <alignment horizontal="left" vertical="center" wrapText="1"/>
    </xf>
    <xf numFmtId="0" fontId="0" fillId="10" borderId="12" xfId="0" applyFill="1" applyBorder="1" applyAlignment="1">
      <alignment horizontal="left" vertical="center" wrapText="1"/>
    </xf>
    <xf numFmtId="0" fontId="0" fillId="10" borderId="13" xfId="0" applyFill="1" applyBorder="1" applyAlignment="1">
      <alignment horizontal="left" vertical="center" wrapText="1"/>
    </xf>
    <xf numFmtId="0" fontId="0" fillId="10" borderId="0" xfId="0" applyFill="1" applyAlignment="1">
      <alignment horizontal="left" vertical="center" wrapText="1"/>
    </xf>
    <xf numFmtId="0" fontId="0" fillId="10" borderId="14" xfId="0" applyFill="1" applyBorder="1" applyAlignment="1">
      <alignment horizontal="left" vertical="center" wrapText="1"/>
    </xf>
    <xf numFmtId="0" fontId="0" fillId="10" borderId="15" xfId="0" applyFill="1" applyBorder="1" applyAlignment="1">
      <alignment horizontal="left" vertical="center" wrapText="1"/>
    </xf>
    <xf numFmtId="0" fontId="0" fillId="10" borderId="16" xfId="0" applyFill="1" applyBorder="1" applyAlignment="1">
      <alignment horizontal="left" vertical="center" wrapText="1"/>
    </xf>
    <xf numFmtId="0" fontId="0" fillId="10" borderId="17" xfId="0" applyFill="1" applyBorder="1" applyAlignment="1">
      <alignment horizontal="left" vertical="center" wrapText="1"/>
    </xf>
    <xf numFmtId="0" fontId="0" fillId="12" borderId="10" xfId="0" applyFill="1" applyBorder="1" applyAlignment="1">
      <alignment horizontal="left" vertical="center" wrapText="1"/>
    </xf>
    <xf numFmtId="0" fontId="0" fillId="12" borderId="11" xfId="0" applyFill="1" applyBorder="1" applyAlignment="1">
      <alignment horizontal="left" vertical="center" wrapText="1"/>
    </xf>
    <xf numFmtId="0" fontId="0" fillId="12" borderId="12" xfId="0" applyFill="1" applyBorder="1" applyAlignment="1">
      <alignment horizontal="left" vertical="center" wrapText="1"/>
    </xf>
    <xf numFmtId="0" fontId="0" fillId="12" borderId="13" xfId="0" applyFill="1" applyBorder="1" applyAlignment="1">
      <alignment horizontal="left" vertical="center" wrapText="1"/>
    </xf>
    <xf numFmtId="0" fontId="0" fillId="12" borderId="0" xfId="0" applyFill="1" applyAlignment="1">
      <alignment horizontal="left" vertical="center" wrapText="1"/>
    </xf>
    <xf numFmtId="0" fontId="0" fillId="12" borderId="14" xfId="0" applyFill="1" applyBorder="1" applyAlignment="1">
      <alignment horizontal="left" vertical="center" wrapText="1"/>
    </xf>
    <xf numFmtId="0" fontId="0" fillId="12" borderId="15" xfId="0" applyFill="1" applyBorder="1" applyAlignment="1">
      <alignment horizontal="left" vertical="center" wrapText="1"/>
    </xf>
    <xf numFmtId="0" fontId="0" fillId="12" borderId="16" xfId="0" applyFill="1" applyBorder="1" applyAlignment="1">
      <alignment horizontal="left" vertical="center" wrapText="1"/>
    </xf>
    <xf numFmtId="0" fontId="0" fillId="12" borderId="17" xfId="0" applyFill="1" applyBorder="1" applyAlignment="1">
      <alignment horizontal="left" vertical="center" wrapText="1"/>
    </xf>
    <xf numFmtId="0" fontId="0" fillId="8" borderId="23" xfId="0" applyFill="1" applyBorder="1" applyAlignment="1">
      <alignment horizontal="left" vertical="center" wrapText="1"/>
    </xf>
    <xf numFmtId="0" fontId="0" fillId="8" borderId="2" xfId="0" applyFill="1" applyBorder="1" applyAlignment="1">
      <alignment horizontal="left" vertical="center" wrapText="1"/>
    </xf>
    <xf numFmtId="0" fontId="0" fillId="8" borderId="24" xfId="0" applyFill="1" applyBorder="1" applyAlignment="1">
      <alignment horizontal="left" vertical="center" wrapText="1"/>
    </xf>
    <xf numFmtId="0" fontId="0" fillId="8" borderId="13" xfId="0" applyFill="1" applyBorder="1" applyAlignment="1">
      <alignment horizontal="left" vertical="center" wrapText="1"/>
    </xf>
    <xf numFmtId="0" fontId="0" fillId="8" borderId="0" xfId="0" applyFill="1" applyAlignment="1">
      <alignment horizontal="left" vertical="center" wrapText="1"/>
    </xf>
    <xf numFmtId="0" fontId="0" fillId="8" borderId="14" xfId="0" applyFill="1" applyBorder="1" applyAlignment="1">
      <alignment horizontal="left" vertical="center" wrapText="1"/>
    </xf>
    <xf numFmtId="0" fontId="0" fillId="8" borderId="15" xfId="0" applyFill="1" applyBorder="1" applyAlignment="1">
      <alignment horizontal="left" vertical="center" wrapText="1"/>
    </xf>
    <xf numFmtId="0" fontId="0" fillId="8" borderId="16" xfId="0" applyFill="1" applyBorder="1" applyAlignment="1">
      <alignment horizontal="left" vertical="center" wrapText="1"/>
    </xf>
    <xf numFmtId="0" fontId="0" fillId="8" borderId="17" xfId="0" applyFill="1" applyBorder="1" applyAlignment="1">
      <alignment horizontal="left" vertical="center" wrapText="1"/>
    </xf>
    <xf numFmtId="0" fontId="7" fillId="9" borderId="7" xfId="0" applyFont="1" applyFill="1" applyBorder="1" applyAlignment="1">
      <alignment horizontal="left" vertical="center"/>
    </xf>
    <xf numFmtId="0" fontId="7" fillId="9" borderId="8" xfId="0" applyFont="1" applyFill="1" applyBorder="1" applyAlignment="1">
      <alignment horizontal="left" vertical="center"/>
    </xf>
    <xf numFmtId="0" fontId="7" fillId="9" borderId="9" xfId="0" applyFont="1" applyFill="1" applyBorder="1" applyAlignment="1">
      <alignment horizontal="left" vertical="center"/>
    </xf>
    <xf numFmtId="0" fontId="0" fillId="7" borderId="1" xfId="0" applyFill="1" applyBorder="1" applyAlignment="1">
      <alignment horizontal="left" vertical="center" wrapText="1"/>
    </xf>
    <xf numFmtId="0" fontId="0" fillId="7" borderId="2" xfId="0" applyFill="1" applyBorder="1" applyAlignment="1">
      <alignment horizontal="left" vertical="center" wrapText="1"/>
    </xf>
    <xf numFmtId="0" fontId="0" fillId="7" borderId="3" xfId="0" applyFill="1" applyBorder="1" applyAlignment="1">
      <alignment horizontal="left" vertical="center" wrapText="1"/>
    </xf>
    <xf numFmtId="0" fontId="0" fillId="7" borderId="18" xfId="0" applyFill="1" applyBorder="1" applyAlignment="1">
      <alignment horizontal="left" vertical="center" wrapText="1"/>
    </xf>
    <xf numFmtId="0" fontId="0" fillId="7" borderId="0" xfId="0" applyFill="1" applyAlignment="1">
      <alignment horizontal="left" vertical="center" wrapText="1"/>
    </xf>
    <xf numFmtId="0" fontId="0" fillId="7" borderId="19" xfId="0" applyFill="1" applyBorder="1" applyAlignment="1">
      <alignment horizontal="left" vertical="center" wrapText="1"/>
    </xf>
    <xf numFmtId="0" fontId="0" fillId="7" borderId="4" xfId="0" applyFill="1" applyBorder="1" applyAlignment="1">
      <alignment horizontal="left" vertical="center" wrapText="1"/>
    </xf>
    <xf numFmtId="0" fontId="0" fillId="7" borderId="5" xfId="0" applyFill="1" applyBorder="1" applyAlignment="1">
      <alignment horizontal="left" vertical="center" wrapText="1"/>
    </xf>
    <xf numFmtId="0" fontId="0" fillId="7" borderId="6" xfId="0" applyFill="1" applyBorder="1" applyAlignment="1">
      <alignment horizontal="left" vertical="center" wrapText="1"/>
    </xf>
    <xf numFmtId="0" fontId="0" fillId="11" borderId="1" xfId="0" applyFill="1" applyBorder="1" applyAlignment="1">
      <alignment horizontal="left" vertical="center" wrapText="1"/>
    </xf>
    <xf numFmtId="0" fontId="0" fillId="11" borderId="2" xfId="0" applyFill="1" applyBorder="1" applyAlignment="1">
      <alignment horizontal="left" vertical="center" wrapText="1"/>
    </xf>
    <xf numFmtId="0" fontId="0" fillId="11" borderId="3" xfId="0" applyFill="1" applyBorder="1" applyAlignment="1">
      <alignment horizontal="left" vertical="center" wrapText="1"/>
    </xf>
    <xf numFmtId="0" fontId="0" fillId="11" borderId="18" xfId="0" applyFill="1" applyBorder="1" applyAlignment="1">
      <alignment horizontal="left" vertical="center" wrapText="1"/>
    </xf>
    <xf numFmtId="0" fontId="0" fillId="11" borderId="0" xfId="0" applyFill="1" applyAlignment="1">
      <alignment horizontal="left" vertical="center" wrapText="1"/>
    </xf>
    <xf numFmtId="0" fontId="0" fillId="11" borderId="19" xfId="0" applyFill="1" applyBorder="1" applyAlignment="1">
      <alignment horizontal="left" vertical="center" wrapText="1"/>
    </xf>
    <xf numFmtId="0" fontId="0" fillId="11" borderId="4" xfId="0" applyFill="1" applyBorder="1" applyAlignment="1">
      <alignment horizontal="left" vertical="center" wrapText="1"/>
    </xf>
    <xf numFmtId="0" fontId="0" fillId="11" borderId="5" xfId="0" applyFill="1" applyBorder="1" applyAlignment="1">
      <alignment horizontal="left" vertical="center" wrapText="1"/>
    </xf>
    <xf numFmtId="0" fontId="0" fillId="11" borderId="6" xfId="0" applyFill="1" applyBorder="1" applyAlignment="1">
      <alignment horizontal="left" vertical="center" wrapText="1"/>
    </xf>
    <xf numFmtId="0" fontId="0" fillId="6" borderId="10" xfId="0" applyFill="1" applyBorder="1" applyAlignment="1">
      <alignment horizontal="left" vertical="center" wrapText="1"/>
    </xf>
    <xf numFmtId="0" fontId="0" fillId="6" borderId="11" xfId="0" applyFill="1" applyBorder="1" applyAlignment="1">
      <alignment horizontal="left" vertical="center" wrapText="1"/>
    </xf>
    <xf numFmtId="0" fontId="0" fillId="6" borderId="12" xfId="0" applyFill="1" applyBorder="1" applyAlignment="1">
      <alignment horizontal="left" vertical="center" wrapText="1"/>
    </xf>
    <xf numFmtId="0" fontId="0" fillId="6" borderId="13" xfId="0" applyFill="1" applyBorder="1" applyAlignment="1">
      <alignment horizontal="left" vertical="center" wrapText="1"/>
    </xf>
    <xf numFmtId="0" fontId="0" fillId="6" borderId="0" xfId="0" applyFill="1" applyAlignment="1">
      <alignment horizontal="left" vertical="center" wrapText="1"/>
    </xf>
    <xf numFmtId="0" fontId="0" fillId="6" borderId="14" xfId="0" applyFill="1" applyBorder="1" applyAlignment="1">
      <alignment horizontal="left" vertical="center" wrapText="1"/>
    </xf>
    <xf numFmtId="0" fontId="0" fillId="6" borderId="15" xfId="0" applyFill="1" applyBorder="1" applyAlignment="1">
      <alignment horizontal="left" vertical="center" wrapText="1"/>
    </xf>
    <xf numFmtId="0" fontId="0" fillId="6" borderId="16" xfId="0" applyFill="1" applyBorder="1" applyAlignment="1">
      <alignment horizontal="left" vertical="center" wrapText="1"/>
    </xf>
    <xf numFmtId="0" fontId="0" fillId="6" borderId="17" xfId="0" applyFill="1" applyBorder="1" applyAlignment="1">
      <alignment horizontal="left" vertical="center" wrapText="1"/>
    </xf>
    <xf numFmtId="0" fontId="0" fillId="13" borderId="10" xfId="0" applyFill="1" applyBorder="1" applyAlignment="1">
      <alignment horizontal="left" vertical="center" wrapText="1"/>
    </xf>
    <xf numFmtId="0" fontId="0" fillId="13" borderId="11" xfId="0" applyFill="1" applyBorder="1" applyAlignment="1">
      <alignment horizontal="left" vertical="center" wrapText="1"/>
    </xf>
    <xf numFmtId="0" fontId="0" fillId="13" borderId="12" xfId="0" applyFill="1" applyBorder="1" applyAlignment="1">
      <alignment horizontal="left" vertical="center" wrapText="1"/>
    </xf>
    <xf numFmtId="0" fontId="0" fillId="13" borderId="13" xfId="0" applyFill="1" applyBorder="1" applyAlignment="1">
      <alignment horizontal="left" vertical="center" wrapText="1"/>
    </xf>
    <xf numFmtId="0" fontId="0" fillId="13" borderId="0" xfId="0" applyFill="1" applyAlignment="1">
      <alignment horizontal="left" vertical="center" wrapText="1"/>
    </xf>
    <xf numFmtId="0" fontId="0" fillId="13" borderId="14" xfId="0" applyFill="1" applyBorder="1" applyAlignment="1">
      <alignment horizontal="left" vertical="center" wrapText="1"/>
    </xf>
    <xf numFmtId="0" fontId="0" fillId="13" borderId="15" xfId="0" applyFill="1" applyBorder="1" applyAlignment="1">
      <alignment horizontal="left" vertical="center" wrapText="1"/>
    </xf>
    <xf numFmtId="0" fontId="0" fillId="13" borderId="16" xfId="0" applyFill="1" applyBorder="1" applyAlignment="1">
      <alignment horizontal="left" vertical="center" wrapText="1"/>
    </xf>
    <xf numFmtId="0" fontId="0" fillId="13" borderId="17" xfId="0" applyFill="1" applyBorder="1" applyAlignment="1">
      <alignment horizontal="left" vertical="center" wrapText="1"/>
    </xf>
    <xf numFmtId="0" fontId="0" fillId="4" borderId="10" xfId="0" applyFill="1" applyBorder="1" applyAlignment="1">
      <alignment horizontal="left" vertical="center" wrapText="1"/>
    </xf>
    <xf numFmtId="0" fontId="0" fillId="4" borderId="11" xfId="0" applyFill="1" applyBorder="1" applyAlignment="1">
      <alignment horizontal="left" vertical="center" wrapText="1"/>
    </xf>
    <xf numFmtId="0" fontId="0" fillId="4" borderId="12" xfId="0" applyFill="1" applyBorder="1" applyAlignment="1">
      <alignment horizontal="left" vertical="center" wrapText="1"/>
    </xf>
    <xf numFmtId="0" fontId="0" fillId="4" borderId="13" xfId="0" applyFill="1" applyBorder="1" applyAlignment="1">
      <alignment horizontal="left" vertical="center" wrapText="1"/>
    </xf>
    <xf numFmtId="0" fontId="0" fillId="4" borderId="0" xfId="0" applyFill="1" applyAlignment="1">
      <alignment horizontal="left" vertical="center" wrapText="1"/>
    </xf>
    <xf numFmtId="0" fontId="0" fillId="4" borderId="14" xfId="0" applyFill="1" applyBorder="1" applyAlignment="1">
      <alignment horizontal="left" vertical="center" wrapText="1"/>
    </xf>
    <xf numFmtId="0" fontId="0" fillId="4" borderId="15" xfId="0" applyFill="1" applyBorder="1" applyAlignment="1">
      <alignment horizontal="left" vertical="center" wrapText="1"/>
    </xf>
    <xf numFmtId="0" fontId="0" fillId="4" borderId="16" xfId="0" applyFill="1" applyBorder="1" applyAlignment="1">
      <alignment horizontal="left" vertical="center" wrapText="1"/>
    </xf>
    <xf numFmtId="0" fontId="0" fillId="4" borderId="17" xfId="0" applyFill="1" applyBorder="1" applyAlignment="1">
      <alignment horizontal="left" vertical="center"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cellXfs>
  <cellStyles count="1">
    <cellStyle name="Normale" xfId="0" builtinId="0"/>
  </cellStyles>
  <dxfs count="36">
    <dxf>
      <fill>
        <patternFill>
          <bgColor theme="6" tint="0.39994506668294322"/>
        </patternFill>
      </fill>
    </dxf>
    <dxf>
      <font>
        <b/>
        <i val="0"/>
        <color rgb="FFA22402"/>
      </font>
      <fill>
        <patternFill>
          <bgColor theme="5" tint="0.39994506668294322"/>
        </patternFill>
      </fill>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1"/>
        <name val="Sitka Subheading"/>
        <scheme val="none"/>
      </font>
      <numFmt numFmtId="164" formatCode="0.000"/>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numFmt numFmtId="164" formatCode="0.000"/>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alignment horizontal="righ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theme="1"/>
        <name val="Sitka Subheading"/>
        <scheme val="none"/>
      </font>
      <numFmt numFmtId="0" formatCode="General"/>
      <alignment horizontal="center" vertical="center" textRotation="0" wrapText="0" indent="0" justifyLastLine="0" shrinkToFit="0" readingOrder="0"/>
    </dxf>
    <dxf>
      <border diagonalUp="0" diagonalDown="0">
        <left/>
        <right/>
        <top/>
        <bottom/>
      </border>
    </dxf>
    <dxf>
      <font>
        <strike val="0"/>
        <outline val="0"/>
        <shadow val="0"/>
        <u val="none"/>
        <vertAlign val="baseline"/>
        <sz val="11"/>
        <color theme="1"/>
        <name val="Sitka Subheading"/>
        <scheme val="none"/>
      </font>
    </dxf>
    <dxf>
      <border>
        <bottom style="medium">
          <color indexed="64"/>
        </bottom>
      </border>
    </dxf>
    <dxf>
      <font>
        <b/>
        <strike val="0"/>
        <outline val="0"/>
        <shadow val="0"/>
        <u val="none"/>
        <vertAlign val="baseline"/>
        <sz val="14"/>
        <color theme="1"/>
        <name val="Sitka Subheading"/>
        <scheme val="none"/>
      </font>
      <alignment horizontal="left" vertical="center" textRotation="0" wrapText="0" indent="0" justifyLastLine="0" shrinkToFit="0" readingOrder="0"/>
      <border diagonalUp="0" diagonalDown="0">
        <left/>
        <right/>
        <top/>
        <bottom/>
        <vertical/>
        <horizontal/>
      </border>
    </dxf>
    <dxf>
      <fill>
        <patternFill>
          <bgColor theme="6" tint="0.39994506668294322"/>
        </patternFill>
      </fill>
    </dxf>
    <dxf>
      <font>
        <color rgb="FFA22402"/>
      </font>
      <fill>
        <patternFill>
          <bgColor rgb="FFF4B084"/>
        </patternFill>
      </fill>
    </dxf>
    <dxf>
      <fill>
        <patternFill>
          <bgColor theme="5" tint="0.39994506668294322"/>
        </patternFill>
      </fill>
    </dxf>
    <dxf>
      <fill>
        <patternFill>
          <bgColor theme="6" tint="0.39994506668294322"/>
        </patternFill>
      </fill>
    </dxf>
    <dxf>
      <font>
        <b/>
        <i val="0"/>
        <color theme="2"/>
      </font>
      <fill>
        <patternFill>
          <bgColor rgb="FFEE813E"/>
        </patternFill>
      </fill>
      <border>
        <left style="thin">
          <color auto="1"/>
        </left>
        <right style="thin">
          <color auto="1"/>
        </right>
        <top style="thin">
          <color auto="1"/>
        </top>
        <bottom style="thin">
          <color auto="1"/>
        </bottom>
      </border>
    </dxf>
  </dxfs>
  <tableStyles count="4" defaultTableStyle="Pink" defaultPivotStyle="PivotStyleLight16">
    <tableStyle name="Invisible" pivot="0" table="0" count="0" xr9:uid="{C96B52A3-77EE-47D5-A5A1-4AED9BE0CA2C}"/>
    <tableStyle name="Pink" pivot="0" count="2" xr9:uid="{445F4078-CFAD-4856-BC27-405CB007A576}">
      <tableStyleElement type="headerRow" dxfId="1"/>
      <tableStyleElement type="secondRowStripe" dxfId="0"/>
    </tableStyle>
    <tableStyle name="Stile tabella pivot 1" table="0" count="3" xr9:uid="{FEDA64C3-3A72-47CD-90D4-CAC87A5421FB}">
      <tableStyleElement type="headerRow" dxfId="35"/>
      <tableStyleElement type="firstRowStripe" dxfId="34"/>
      <tableStyleElement type="secondColumnStripe" dxfId="33"/>
    </tableStyle>
    <tableStyle name="Stile tabella pivot 2" table="0" count="2" xr9:uid="{37F06CE8-2566-456F-89A5-9B3261A55A60}">
      <tableStyleElement type="headerRow" dxfId="32"/>
      <tableStyleElement type="secondRowStripe" dxfId="31"/>
    </tableStyle>
  </tableStyles>
  <colors>
    <mruColors>
      <color rgb="FF92D050"/>
      <color rgb="FF5B9BD5"/>
      <color rgb="FFFFD966"/>
      <color rgb="FFFF7C80"/>
      <color rgb="FFCC99FF"/>
      <color rgb="FFF98239"/>
      <color rgb="FFF32DBF"/>
      <color rgb="FFA22402"/>
      <color rgb="FFF4B084"/>
      <color rgb="FFEE81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xdr:col>
      <xdr:colOff>708660</xdr:colOff>
      <xdr:row>11</xdr:row>
      <xdr:rowOff>68580</xdr:rowOff>
    </xdr:from>
    <xdr:to>
      <xdr:col>3</xdr:col>
      <xdr:colOff>784860</xdr:colOff>
      <xdr:row>24</xdr:row>
      <xdr:rowOff>158115</xdr:rowOff>
    </xdr:to>
    <mc:AlternateContent xmlns:mc="http://schemas.openxmlformats.org/markup-compatibility/2006" xmlns:a14="http://schemas.microsoft.com/office/drawing/2010/main">
      <mc:Choice Requires="a14">
        <xdr:graphicFrame macro="">
          <xdr:nvGraphicFramePr>
            <xdr:cNvPr id="2" name="Country Name">
              <a:extLst>
                <a:ext uri="{FF2B5EF4-FFF2-40B4-BE49-F238E27FC236}">
                  <a16:creationId xmlns:a16="http://schemas.microsoft.com/office/drawing/2014/main" id="{7FBAC644-2FCF-9A70-028B-171C4CFF4CE5}"/>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mlns="">
        <xdr:sp macro="" textlink="">
          <xdr:nvSpPr>
            <xdr:cNvPr id="0" name=""/>
            <xdr:cNvSpPr>
              <a:spLocks noTextEdit="1"/>
            </xdr:cNvSpPr>
          </xdr:nvSpPr>
          <xdr:spPr>
            <a:xfrm>
              <a:off x="1889760" y="2087880"/>
              <a:ext cx="1828800" cy="2466975"/>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editAs="oneCell">
    <xdr:from>
      <xdr:col>0</xdr:col>
      <xdr:colOff>22860</xdr:colOff>
      <xdr:row>11</xdr:row>
      <xdr:rowOff>60960</xdr:rowOff>
    </xdr:from>
    <xdr:to>
      <xdr:col>1</xdr:col>
      <xdr:colOff>670560</xdr:colOff>
      <xdr:row>24</xdr:row>
      <xdr:rowOff>150495</xdr:rowOff>
    </xdr:to>
    <mc:AlternateContent xmlns:mc="http://schemas.openxmlformats.org/markup-compatibility/2006" xmlns:a14="http://schemas.microsoft.com/office/drawing/2010/main">
      <mc:Choice Requires="a14">
        <xdr:graphicFrame macro="">
          <xdr:nvGraphicFramePr>
            <xdr:cNvPr id="3" name="Series Name">
              <a:extLst>
                <a:ext uri="{FF2B5EF4-FFF2-40B4-BE49-F238E27FC236}">
                  <a16:creationId xmlns:a16="http://schemas.microsoft.com/office/drawing/2014/main" id="{148B1023-3C58-7FDD-6E34-75A9AFCCB34F}"/>
                </a:ext>
              </a:extLst>
            </xdr:cNvPr>
            <xdr:cNvGraphicFramePr/>
          </xdr:nvGraphicFramePr>
          <xdr:xfrm>
            <a:off x="0" y="0"/>
            <a:ext cx="0" cy="0"/>
          </xdr:xfrm>
          <a:graphic>
            <a:graphicData uri="http://schemas.microsoft.com/office/drawing/2010/slicer">
              <sle:slicer xmlns:sle="http://schemas.microsoft.com/office/drawing/2010/slicer" name="Series Name"/>
            </a:graphicData>
          </a:graphic>
        </xdr:graphicFrame>
      </mc:Choice>
      <mc:Fallback xmlns="">
        <xdr:sp macro="" textlink="">
          <xdr:nvSpPr>
            <xdr:cNvPr id="0" name=""/>
            <xdr:cNvSpPr>
              <a:spLocks noTextEdit="1"/>
            </xdr:cNvSpPr>
          </xdr:nvSpPr>
          <xdr:spPr>
            <a:xfrm>
              <a:off x="22860" y="2080260"/>
              <a:ext cx="1828800" cy="2466975"/>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 Pagano" refreshedDate="46142.629818287038" createdVersion="8" refreshedVersion="8" minRefreshableVersion="3" recordCount="153" xr:uid="{BC5FD66D-734B-4410-9EFD-6112EC403D61}">
  <cacheSource type="worksheet">
    <worksheetSource name="Definitivo"/>
  </cacheSource>
  <cacheFields count="11">
    <cacheField name="Continente" numFmtId="0">
      <sharedItems count="7">
        <s v="Europa"/>
        <s v="Asia"/>
        <s v="Oceania"/>
        <s v="Sud America"/>
        <s v="Mondo"/>
        <s v="Africa"/>
        <s v="Nord America"/>
      </sharedItems>
    </cacheField>
    <cacheField name="Country Name" numFmtId="0">
      <sharedItems count="13">
        <s v="Italy"/>
        <s v="China"/>
        <s v="Australia"/>
        <s v="Brazil"/>
        <s v="Germany"/>
        <s v="India"/>
        <s v="Fragile and conflict affected situations"/>
        <s v="Maldives"/>
        <s v="South Africa"/>
        <s v="Switzerland"/>
        <s v="United States"/>
        <s v="Viet Nam"/>
        <s v="World"/>
      </sharedItems>
    </cacheField>
    <cacheField name="Country Code" numFmtId="0">
      <sharedItems/>
    </cacheField>
    <cacheField name="Series Name" numFmtId="0">
      <sharedItems count="14">
        <s v="GDP per capita (current US$)"/>
        <s v="Current health expenditure (% of GDP)"/>
        <s v="Life expectancy at birth, total (years)"/>
        <s v="Carbon dioxide (CO2) emissions from Building (Energy) (Mt CO2e)"/>
        <s v="Carbon dioxide (CO2) emissions from Transport (Energy) (Mt CO2e)"/>
        <s v="Carbon dioxide (CO2) emissions from Industrial Processes (Mt CO2e)"/>
        <s v="Carbon dioxide (CO2) emissions from Agriculture (Mt CO2e)"/>
        <s v="Carbon dioxide (CO2) emissions from Waste (Mt CO2e)"/>
        <s v="Carbon dioxide (CO2) emissions (total) excluding LULUCF (Mt CO2e)"/>
        <s v="Arms exports (SIPRI trend indicator values)"/>
        <s v="Arms imports (SIPRI trend indicator values)"/>
        <s v="Military expenditure (current LCU)"/>
        <s v="Methane (CH4) emissions from Waste (Mt CO2e)"/>
        <s v="Nitrous oxide (N2O) emissions from Waste (Mt CO2e)"/>
      </sharedItems>
    </cacheField>
    <cacheField name="Series Code" numFmtId="0">
      <sharedItems/>
    </cacheField>
    <cacheField name="2000" numFmtId="0">
      <sharedItems containsSemiMixedTypes="0" containsString="0" containsNumber="1" minValue="1.2999999999999999E-3" maxValue="642103750000"/>
    </cacheField>
    <cacheField name="2001" numFmtId="0">
      <sharedItems containsSemiMixedTypes="0" containsString="0" containsNumber="1" minValue="1.4E-3" maxValue="688951750000"/>
    </cacheField>
    <cacheField name="2002" numFmtId="0">
      <sharedItems containsSemiMixedTypes="0" containsString="0" containsNumber="1" minValue="0" maxValue="716985750000"/>
    </cacheField>
    <cacheField name="2022" numFmtId="0">
      <sharedItems containsSemiMixedTypes="0" containsString="0" containsNumber="1" minValue="1.4E-3" maxValue="6279477825000"/>
    </cacheField>
    <cacheField name="2023" numFmtId="0">
      <sharedItems containsSemiMixedTypes="0" containsString="0" containsNumber="1" minValue="1.4E-3" maxValue="6794795850000"/>
    </cacheField>
    <cacheField name="2024" numFmtId="0">
      <sharedItems containsSemiMixedTypes="0" containsString="0" containsNumber="1" minValue="1.2999999999999999E-3" maxValue="7206582450000"/>
    </cacheField>
  </cacheFields>
  <extLst>
    <ext xmlns:x14="http://schemas.microsoft.com/office/spreadsheetml/2009/9/main" uri="{725AE2AE-9491-48be-B2B4-4EB974FC3084}">
      <x14:pivotCacheDefinition pivotCacheId="942674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x v="0"/>
    <x v="0"/>
    <s v="ITA"/>
    <x v="0"/>
    <s v="NY.GDP.PCAP.CD"/>
    <n v="20190.00356360841"/>
    <n v="20570.438591786176"/>
    <n v="22451.396437936848"/>
    <n v="35653.904210349501"/>
    <n v="39277.083878391779"/>
    <n v="40385.341395766904"/>
  </r>
  <r>
    <x v="0"/>
    <x v="0"/>
    <s v="ITA"/>
    <x v="1"/>
    <s v="SH.XPD.CHEX.GD.ZS"/>
    <n v="7.5470123300000003"/>
    <n v="7.7111582800000003"/>
    <n v="7.8363890600000001"/>
    <n v="8.8502292600000008"/>
    <n v="8.4055948300000001"/>
    <n v="8.4443731300000007"/>
  </r>
  <r>
    <x v="0"/>
    <x v="0"/>
    <s v="ITA"/>
    <x v="2"/>
    <s v="SP.DYN.LE00.IN"/>
    <n v="79.778048780487822"/>
    <n v="80.126829268292681"/>
    <n v="80.229268292682946"/>
    <n v="82.700000000000017"/>
    <n v="83.351219512195129"/>
    <n v="83.951219512195138"/>
  </r>
  <r>
    <x v="0"/>
    <x v="0"/>
    <s v="ITA"/>
    <x v="3"/>
    <s v="EN.GHG.CO2.BU.MT.CE.AR5"/>
    <n v="77.819100000000006"/>
    <n v="81.584500000000006"/>
    <n v="77.573300000000003"/>
    <n v="60.8444"/>
    <n v="56.678600000000003"/>
    <n v="56.9054"/>
  </r>
  <r>
    <x v="0"/>
    <x v="0"/>
    <s v="ITA"/>
    <x v="4"/>
    <s v="EN.GHG.CO2.TR.MT.CE.AR5"/>
    <n v="116.3621"/>
    <n v="118.4897"/>
    <n v="120.74850000000001"/>
    <n v="103.8308"/>
    <n v="104.78230000000001"/>
    <n v="104.7041"/>
  </r>
  <r>
    <x v="0"/>
    <x v="0"/>
    <s v="ITA"/>
    <x v="5"/>
    <s v="EN.GHG.CO2.IP.MT.CE.AR5"/>
    <n v="27.5929"/>
    <n v="29.1799"/>
    <n v="29.5181"/>
    <n v="19.316199999999998"/>
    <n v="19.192"/>
    <n v="19.254200000000001"/>
  </r>
  <r>
    <x v="0"/>
    <x v="0"/>
    <s v="ITA"/>
    <x v="6"/>
    <s v="EN.GHG.CO2.AG.MT.CE.AR5"/>
    <n v="1.2141999999999999"/>
    <n v="1.2194"/>
    <n v="1.1854"/>
    <n v="0.61919999999999997"/>
    <n v="0.57289999999999996"/>
    <n v="0.53590000000000004"/>
  </r>
  <r>
    <x v="0"/>
    <x v="0"/>
    <s v="ITA"/>
    <x v="7"/>
    <s v="EN.GHG.CO2.WA.MT.CE.AR5"/>
    <n v="3.4599999999999999E-2"/>
    <n v="3.7999999999999999E-2"/>
    <n v="2.9499999999999998E-2"/>
    <n v="1.84E-2"/>
    <n v="1.9099999999999999E-2"/>
    <n v="1.9800000000000002E-2"/>
  </r>
  <r>
    <x v="0"/>
    <x v="0"/>
    <s v="ITA"/>
    <x v="8"/>
    <s v="EN.GHG.CO2.MT.CE.AR5"/>
    <n v="454.31909999999999"/>
    <n v="453.68040000000002"/>
    <n v="460.95699999999999"/>
    <n v="331.00599999999997"/>
    <n v="304.30810000000002"/>
    <n v="299.2285"/>
  </r>
  <r>
    <x v="0"/>
    <x v="0"/>
    <s v="ITA"/>
    <x v="9"/>
    <s v="MS.MIL.XPRT.KD"/>
    <n v="208000000"/>
    <n v="269000000"/>
    <n v="477000000"/>
    <n v="1711000000"/>
    <n v="1364000000"/>
    <n v="1379000000"/>
  </r>
  <r>
    <x v="0"/>
    <x v="0"/>
    <s v="ITA"/>
    <x v="10"/>
    <s v="MS.MIL.MPRT.KD"/>
    <n v="278000000"/>
    <n v="241000000"/>
    <n v="245000000"/>
    <n v="237000000"/>
    <n v="485000000"/>
    <n v="432000000"/>
  </r>
  <r>
    <x v="0"/>
    <x v="0"/>
    <s v="ITA"/>
    <x v="11"/>
    <s v="MS.MIL.XPND.CN"/>
    <n v="21576363700"/>
    <n v="21813104000"/>
    <n v="22961769000"/>
    <n v="32984208000"/>
    <n v="34185500000"/>
    <n v="35096810000"/>
  </r>
  <r>
    <x v="0"/>
    <x v="0"/>
    <s v="ITA"/>
    <x v="12"/>
    <s v="EN.GHG.CH4.WA.MT.CE.AR5"/>
    <n v="21.837299999999999"/>
    <n v="23.198799999999999"/>
    <n v="22.401299999999999"/>
    <n v="18.230499999999999"/>
    <n v="16.8355"/>
    <n v="15.5703"/>
  </r>
  <r>
    <x v="0"/>
    <x v="0"/>
    <s v="ITA"/>
    <x v="13"/>
    <s v="EN.GHG.N2O.WA.MT.CE.AR5"/>
    <n v="1.1937"/>
    <n v="1.2297"/>
    <n v="1.2535000000000001"/>
    <n v="1.3737999999999999"/>
    <n v="1.3742000000000001"/>
    <n v="1.3749"/>
  </r>
  <r>
    <x v="1"/>
    <x v="1"/>
    <s v="CHN"/>
    <x v="0"/>
    <s v="NY.GDP.PCAP.CD"/>
    <n v="969.19951369628666"/>
    <n v="1065.4059757451932"/>
    <n v="1163.5595767342556"/>
    <n v="12970.605641432652"/>
    <n v="12951.178239704273"/>
    <n v="13303.148154386816"/>
  </r>
  <r>
    <x v="1"/>
    <x v="1"/>
    <s v="CHN"/>
    <x v="2"/>
    <s v="SP.DYN.LE00.IN"/>
    <n v="72.287999999999997"/>
    <n v="72.674999999999997"/>
    <n v="73.034000000000006"/>
    <n v="78.201999999999998"/>
    <n v="77.953000000000003"/>
    <n v="78.016999999999996"/>
  </r>
  <r>
    <x v="1"/>
    <x v="1"/>
    <s v="CHN"/>
    <x v="3"/>
    <s v="EN.GHG.CO2.BU.MT.CE.AR5"/>
    <n v="371.34730000000002"/>
    <n v="381.02080000000001"/>
    <n v="397.15620000000001"/>
    <n v="575.49590000000001"/>
    <n v="574.54939999999999"/>
    <n v="586.64400000000001"/>
  </r>
  <r>
    <x v="1"/>
    <x v="1"/>
    <s v="CHN"/>
    <x v="4"/>
    <s v="EN.GHG.CO2.TR.MT.CE.AR5"/>
    <n v="248.4803"/>
    <n v="254.25030000000001"/>
    <n v="276.4443"/>
    <n v="885.43399999999997"/>
    <n v="939.82780000000002"/>
    <n v="928.69749999999999"/>
  </r>
  <r>
    <x v="1"/>
    <x v="1"/>
    <s v="CHN"/>
    <x v="5"/>
    <s v="EN.GHG.CO2.IP.MT.CE.AR5"/>
    <n v="453.4665"/>
    <n v="484.59030000000001"/>
    <n v="528.61789999999996"/>
    <n v="1477.6858999999999"/>
    <n v="1456.0920000000001"/>
    <n v="1396.1706999999999"/>
  </r>
  <r>
    <x v="1"/>
    <x v="1"/>
    <s v="CHN"/>
    <x v="6"/>
    <s v="EN.GHG.CO2.AG.MT.CE.AR5"/>
    <n v="24.127700000000001"/>
    <n v="24.6966"/>
    <n v="31.126899999999999"/>
    <n v="16.3139"/>
    <n v="16.6374"/>
    <n v="16.969100000000001"/>
  </r>
  <r>
    <x v="1"/>
    <x v="1"/>
    <s v="CHN"/>
    <x v="7"/>
    <s v="EN.GHG.CO2.WA.MT.CE.AR5"/>
    <n v="0.49930000000000002"/>
    <n v="0.52090000000000003"/>
    <n v="0.54269999999999996"/>
    <n v="3.5489000000000002"/>
    <n v="3.6225000000000001"/>
    <n v="3.6976"/>
  </r>
  <r>
    <x v="1"/>
    <x v="1"/>
    <s v="CHN"/>
    <x v="8"/>
    <s v="EN.GHG.CO2.MT.CE.AR5"/>
    <n v="3647.8773000000001"/>
    <n v="3825.0578999999998"/>
    <n v="4133.0730000000003"/>
    <n v="12518.6844"/>
    <n v="13021.242"/>
    <n v="13124.727999999999"/>
  </r>
  <r>
    <x v="1"/>
    <x v="1"/>
    <s v="CHN"/>
    <x v="9"/>
    <s v="MS.MIL.XPRT.KD"/>
    <n v="306000000"/>
    <n v="510000000"/>
    <n v="524000000"/>
    <n v="2280000000"/>
    <n v="2982000000"/>
    <n v="1131000000"/>
  </r>
  <r>
    <x v="1"/>
    <x v="1"/>
    <s v="CHN"/>
    <x v="10"/>
    <s v="MS.MIL.MPRT.KD"/>
    <n v="2472000000"/>
    <n v="2754000000"/>
    <n v="2819000000"/>
    <n v="646000000"/>
    <n v="431000000"/>
    <n v="72000000"/>
  </r>
  <r>
    <x v="1"/>
    <x v="1"/>
    <s v="CHN"/>
    <x v="11"/>
    <s v="MS.MIL.XPND.CN"/>
    <n v="184090164741.82901"/>
    <n v="219851088539.276"/>
    <n v="250660511207.45001"/>
    <n v="1964343311987.28"/>
    <n v="2098678518474.49"/>
    <n v="2254801911598.8198"/>
  </r>
  <r>
    <x v="1"/>
    <x v="1"/>
    <s v="CHN"/>
    <x v="12"/>
    <s v="EN.GHG.CH4.WA.MT.CE.AR5"/>
    <n v="138.7081"/>
    <n v="140.8588"/>
    <n v="143.01339999999999"/>
    <n v="235.98699999999999"/>
    <n v="207.26390000000001"/>
    <n v="195.6686"/>
  </r>
  <r>
    <x v="1"/>
    <x v="1"/>
    <s v="CHN"/>
    <x v="13"/>
    <s v="EN.GHG.N2O.WA.MT.CE.AR5"/>
    <n v="18.433700000000002"/>
    <n v="18.686900000000001"/>
    <n v="18.722000000000001"/>
    <n v="30.758700000000001"/>
    <n v="31.221"/>
    <n v="31.6907"/>
  </r>
  <r>
    <x v="2"/>
    <x v="2"/>
    <s v="AUS"/>
    <x v="0"/>
    <s v="NY.GDP.PCAP.CD"/>
    <n v="21908.996801978352"/>
    <n v="19733.651010264537"/>
    <n v="20335.096019102304"/>
    <n v="65169.519111865666"/>
    <n v="65058.37731466737"/>
    <n v="64603.985630846415"/>
  </r>
  <r>
    <x v="2"/>
    <x v="2"/>
    <s v="AUS"/>
    <x v="2"/>
    <s v="SP.DYN.LE00.IN"/>
    <n v="79.234146341463429"/>
    <n v="79.634146341463421"/>
    <n v="79.936585365853674"/>
    <n v="83.2"/>
    <n v="83.051219512195132"/>
    <n v="83.051219512195132"/>
  </r>
  <r>
    <x v="2"/>
    <x v="2"/>
    <s v="AUS"/>
    <x v="3"/>
    <s v="EN.GHG.CO2.BU.MT.CE.AR5"/>
    <n v="16.230399999999999"/>
    <n v="16.5489"/>
    <n v="18.042999999999999"/>
    <n v="29.745999999999999"/>
    <n v="29.706"/>
    <n v="29.857099999999999"/>
  </r>
  <r>
    <x v="2"/>
    <x v="2"/>
    <s v="AUS"/>
    <x v="4"/>
    <s v="EN.GHG.CO2.TR.MT.CE.AR5"/>
    <n v="75.014300000000006"/>
    <n v="74.417000000000002"/>
    <n v="76.132400000000004"/>
    <n v="89.1892"/>
    <n v="96.688000000000002"/>
    <n v="100.5104"/>
  </r>
  <r>
    <x v="2"/>
    <x v="2"/>
    <s v="AUS"/>
    <x v="5"/>
    <s v="EN.GHG.CO2.IP.MT.CE.AR5"/>
    <n v="13.8454"/>
    <n v="14.2227"/>
    <n v="14.3231"/>
    <n v="14.0861"/>
    <n v="13.6317"/>
    <n v="13.4772"/>
  </r>
  <r>
    <x v="2"/>
    <x v="2"/>
    <s v="AUS"/>
    <x v="6"/>
    <s v="EN.GHG.CO2.AG.MT.CE.AR5"/>
    <n v="1.2529999999999999"/>
    <n v="1.3771"/>
    <n v="1.6823999999999999"/>
    <n v="2.8626999999999998"/>
    <n v="2.8102999999999998"/>
    <n v="2.7917000000000001"/>
  </r>
  <r>
    <x v="2"/>
    <x v="2"/>
    <s v="AUS"/>
    <x v="7"/>
    <s v="EN.GHG.CO2.WA.MT.CE.AR5"/>
    <n v="1.35E-2"/>
    <n v="1.3599999999999999E-2"/>
    <n v="1.37E-2"/>
    <n v="1.6299999999999999E-2"/>
    <n v="1.6500000000000001E-2"/>
    <n v="1.66E-2"/>
  </r>
  <r>
    <x v="2"/>
    <x v="2"/>
    <s v="AUS"/>
    <x v="8"/>
    <s v="EN.GHG.CO2.MT.CE.AR5"/>
    <n v="353.8956"/>
    <n v="360.42790000000002"/>
    <n v="368.6413"/>
    <n v="378.06509999999997"/>
    <n v="377.4957"/>
    <n v="383.40309999999999"/>
  </r>
  <r>
    <x v="2"/>
    <x v="2"/>
    <s v="AUS"/>
    <x v="10"/>
    <s v="MS.MIL.MPRT.KD"/>
    <n v="326000000"/>
    <n v="1215000000"/>
    <n v="638000000"/>
    <n v="815000000"/>
    <n v="379000000"/>
    <n v="983000000"/>
  </r>
  <r>
    <x v="2"/>
    <x v="2"/>
    <s v="AUS"/>
    <x v="11"/>
    <s v="MS.MIL.XPND.CN"/>
    <n v="12546000000"/>
    <n v="13617500000"/>
    <n v="14626500000"/>
    <n v="46774583500"/>
    <n v="48825218500"/>
    <n v="51405750000"/>
  </r>
  <r>
    <x v="2"/>
    <x v="2"/>
    <s v="AUS"/>
    <x v="12"/>
    <s v="EN.GHG.CH4.WA.MT.CE.AR5"/>
    <n v="16.016300000000001"/>
    <n v="16.1418"/>
    <n v="16.436"/>
    <n v="15.470499999999999"/>
    <n v="15.553900000000001"/>
    <n v="15.704700000000001"/>
  </r>
  <r>
    <x v="2"/>
    <x v="2"/>
    <s v="AUS"/>
    <x v="13"/>
    <s v="EN.GHG.N2O.WA.MT.CE.AR5"/>
    <n v="0.50260000000000005"/>
    <n v="0.52210000000000001"/>
    <n v="0.54879999999999995"/>
    <n v="1.0086999999999999"/>
    <n v="1.0197000000000001"/>
    <n v="1.0307999999999999"/>
  </r>
  <r>
    <x v="3"/>
    <x v="3"/>
    <s v="BRA"/>
    <x v="0"/>
    <s v="NY.GDP.PCAP.CD"/>
    <n v="3766.5478633983453"/>
    <n v="3176.2897505252413"/>
    <n v="2855.9401713704933"/>
    <n v="9281.3328213686418"/>
    <n v="10377.58977191948"/>
    <n v="10310.548877816553"/>
  </r>
  <r>
    <x v="3"/>
    <x v="3"/>
    <s v="BRA"/>
    <x v="2"/>
    <s v="SP.DYN.LE00.IN"/>
    <n v="69.584000000000003"/>
    <n v="69.98"/>
    <n v="70.396000000000001"/>
    <n v="74.872"/>
    <n v="75.847999999999999"/>
    <n v="76.022999999999996"/>
  </r>
  <r>
    <x v="3"/>
    <x v="3"/>
    <s v="BRA"/>
    <x v="3"/>
    <s v="EN.GHG.CO2.BU.MT.CE.AR5"/>
    <n v="35.632100000000001"/>
    <n v="37.248100000000001"/>
    <n v="36.696599999999997"/>
    <n v="40.638199999999998"/>
    <n v="42.180100000000003"/>
    <n v="42.324100000000001"/>
  </r>
  <r>
    <x v="3"/>
    <x v="3"/>
    <s v="BRA"/>
    <x v="4"/>
    <s v="EN.GHG.CO2.TR.MT.CE.AR5"/>
    <n v="125.4845"/>
    <n v="128.04150000000001"/>
    <n v="130.01240000000001"/>
    <n v="212.577"/>
    <n v="218.17169999999999"/>
    <n v="219.28909999999999"/>
  </r>
  <r>
    <x v="3"/>
    <x v="3"/>
    <s v="BRA"/>
    <x v="5"/>
    <s v="EN.GHG.CO2.IP.MT.CE.AR5"/>
    <n v="39.333399999999997"/>
    <n v="37.204300000000003"/>
    <n v="38.409599999999998"/>
    <n v="47.055100000000003"/>
    <n v="47.345700000000001"/>
    <n v="48.169899999999998"/>
  </r>
  <r>
    <x v="3"/>
    <x v="3"/>
    <s v="BRA"/>
    <x v="6"/>
    <s v="EN.GHG.CO2.AG.MT.CE.AR5"/>
    <n v="5.3531000000000004"/>
    <n v="4.6631999999999998"/>
    <n v="4.8023999999999996"/>
    <n v="12.8878"/>
    <n v="12.943099999999999"/>
    <n v="13.198600000000001"/>
  </r>
  <r>
    <x v="3"/>
    <x v="3"/>
    <s v="BRA"/>
    <x v="7"/>
    <s v="EN.GHG.CO2.WA.MT.CE.AR5"/>
    <n v="0.22450000000000001"/>
    <n v="0.2286"/>
    <n v="0.2326"/>
    <n v="0.29920000000000002"/>
    <n v="0.30209999999999998"/>
    <n v="0.30499999999999999"/>
  </r>
  <r>
    <x v="3"/>
    <x v="3"/>
    <s v="BRA"/>
    <x v="8"/>
    <s v="EN.GHG.CO2.MT.CE.AR5"/>
    <n v="349.4076"/>
    <n v="351.33670000000001"/>
    <n v="351.43700000000001"/>
    <n v="479.26639999999998"/>
    <n v="480.23500000000001"/>
    <n v="491.46879999999999"/>
  </r>
  <r>
    <x v="3"/>
    <x v="3"/>
    <s v="BRA"/>
    <x v="10"/>
    <s v="MS.MIL.MPRT.KD"/>
    <n v="86000000"/>
    <n v="573000000"/>
    <n v="221000000"/>
    <n v="469000000"/>
    <n v="185000000"/>
    <n v="435000000"/>
  </r>
  <r>
    <x v="3"/>
    <x v="3"/>
    <s v="BRA"/>
    <x v="11"/>
    <s v="MS.MIL.XPND.CN"/>
    <n v="20753000000"/>
    <n v="25682000000"/>
    <n v="28224000000"/>
    <n v="106078600000"/>
    <n v="108819000000"/>
    <n v="112971700000"/>
  </r>
  <r>
    <x v="3"/>
    <x v="3"/>
    <s v="BRA"/>
    <x v="12"/>
    <s v="EN.GHG.CH4.WA.MT.CE.AR5"/>
    <n v="52.073799999999999"/>
    <n v="52.858400000000003"/>
    <n v="55.826999999999998"/>
    <n v="104.4671"/>
    <n v="106.3052"/>
    <n v="107.9243"/>
  </r>
  <r>
    <x v="3"/>
    <x v="3"/>
    <s v="BRA"/>
    <x v="13"/>
    <s v="EN.GHG.N2O.WA.MT.CE.AR5"/>
    <n v="2.3700999999999999"/>
    <n v="2.4184000000000001"/>
    <n v="2.4994000000000001"/>
    <n v="3.7736999999999998"/>
    <n v="3.7967"/>
    <n v="3.8197999999999999"/>
  </r>
  <r>
    <x v="0"/>
    <x v="4"/>
    <s v="DEU"/>
    <x v="0"/>
    <s v="NY.GDP.PCAP.CD"/>
    <n v="23925.855990199114"/>
    <n v="23878.364147165095"/>
    <n v="25486.594200874752"/>
    <n v="50506.517963854327"/>
    <n v="54776.766823549093"/>
    <n v="56103.732318255446"/>
  </r>
  <r>
    <x v="0"/>
    <x v="4"/>
    <s v="DEU"/>
    <x v="1"/>
    <s v="SH.XPD.CHEX.GD.ZS"/>
    <n v="9.7593040500000008"/>
    <n v="9.7810554500000002"/>
    <n v="10.028964999999999"/>
    <n v="12.447083470000001"/>
    <n v="11.744286539999999"/>
    <n v="12.26655293"/>
  </r>
  <r>
    <x v="0"/>
    <x v="4"/>
    <s v="DEU"/>
    <x v="2"/>
    <s v="SP.DYN.LE00.IN"/>
    <n v="77.926829268292693"/>
    <n v="78.329268292682926"/>
    <n v="78.229268292682931"/>
    <n v="80.608048780487806"/>
    <n v="81.041463414634151"/>
    <n v="80.792682926829272"/>
  </r>
  <r>
    <x v="0"/>
    <x v="4"/>
    <s v="DEU"/>
    <x v="3"/>
    <s v="EN.GHG.CO2.BU.MT.CE.AR5"/>
    <n v="172.17490000000001"/>
    <n v="188.37129999999999"/>
    <n v="176.27070000000001"/>
    <n v="121.4623"/>
    <n v="113.0859"/>
    <n v="118.92230000000001"/>
  </r>
  <r>
    <x v="0"/>
    <x v="4"/>
    <s v="DEU"/>
    <x v="4"/>
    <s v="EN.GHG.CO2.TR.MT.CE.AR5"/>
    <n v="173.47040000000001"/>
    <n v="169.5369"/>
    <n v="167.1233"/>
    <n v="140.9573"/>
    <n v="136.6369"/>
    <n v="138.04339999999999"/>
  </r>
  <r>
    <x v="0"/>
    <x v="4"/>
    <s v="DEU"/>
    <x v="5"/>
    <s v="EN.GHG.CO2.IP.MT.CE.AR5"/>
    <n v="46.885300000000001"/>
    <n v="44.3322"/>
    <n v="42.932200000000002"/>
    <n v="38.888599999999997"/>
    <n v="38.622900000000001"/>
    <n v="39.704900000000002"/>
  </r>
  <r>
    <x v="0"/>
    <x v="4"/>
    <s v="DEU"/>
    <x v="6"/>
    <s v="EN.GHG.CO2.AG.MT.CE.AR5"/>
    <n v="0.45889999999999997"/>
    <n v="0.44469999999999998"/>
    <n v="0.44790000000000002"/>
    <n v="0.68079999999999996"/>
    <n v="0.65110000000000001"/>
    <n v="0.62170000000000003"/>
  </r>
  <r>
    <x v="0"/>
    <x v="4"/>
    <s v="DEU"/>
    <x v="8"/>
    <s v="EN.GHG.CO2.MT.CE.AR5"/>
    <n v="871.38469999999995"/>
    <n v="885.47450000000003"/>
    <n v="869.94039999999995"/>
    <n v="658.08860000000004"/>
    <n v="589.65959999999995"/>
    <n v="579.93560000000002"/>
  </r>
  <r>
    <x v="0"/>
    <x v="4"/>
    <s v="DEU"/>
    <x v="9"/>
    <s v="MS.MIL.XPRT.KD"/>
    <n v="1677000000"/>
    <n v="865000000"/>
    <n v="899000000"/>
    <n v="1489000000"/>
    <n v="2472000000"/>
    <n v="2049000000"/>
  </r>
  <r>
    <x v="0"/>
    <x v="4"/>
    <s v="DEU"/>
    <x v="10"/>
    <s v="MS.MIL.MPRT.KD"/>
    <n v="113000000"/>
    <n v="133000000"/>
    <n v="71000000"/>
    <n v="284000000"/>
    <n v="200000000"/>
    <n v="239000000"/>
  </r>
  <r>
    <x v="0"/>
    <x v="4"/>
    <s v="DEU"/>
    <x v="11"/>
    <s v="MS.MIL.XPND.CN"/>
    <n v="28627226622.409698"/>
    <n v="28715298865.078602"/>
    <n v="29202507016.0131"/>
    <n v="53389040000"/>
    <n v="62279449000"/>
    <n v="81776500000"/>
  </r>
  <r>
    <x v="0"/>
    <x v="4"/>
    <s v="DEU"/>
    <x v="12"/>
    <s v="EN.GHG.CH4.WA.MT.CE.AR5"/>
    <n v="32.052500000000002"/>
    <n v="30.011800000000001"/>
    <n v="28.279399999999999"/>
    <n v="8.2131000000000007"/>
    <n v="8.0973000000000006"/>
    <n v="8.0991"/>
  </r>
  <r>
    <x v="0"/>
    <x v="4"/>
    <s v="DEU"/>
    <x v="13"/>
    <s v="EN.GHG.N2O.WA.MT.CE.AR5"/>
    <n v="2.0516000000000001"/>
    <n v="2.0206"/>
    <n v="2.1093000000000002"/>
    <n v="2.2561"/>
    <n v="2.2555000000000001"/>
    <n v="2.2549000000000001"/>
  </r>
  <r>
    <x v="1"/>
    <x v="5"/>
    <s v="IND"/>
    <x v="0"/>
    <s v="NY.GDP.PCAP.CD"/>
    <n v="442.75021893726324"/>
    <n v="450.35790051412818"/>
    <n v="469.14992897392727"/>
    <n v="2347.4482943462317"/>
    <n v="2530.1203127820381"/>
    <n v="2694.7378085996111"/>
  </r>
  <r>
    <x v="1"/>
    <x v="5"/>
    <s v="IND"/>
    <x v="2"/>
    <s v="SP.DYN.LE00.IN"/>
    <n v="62.749000000000002"/>
    <n v="63.158000000000001"/>
    <n v="63.649000000000001"/>
    <n v="71.697999999999993"/>
    <n v="72.003"/>
    <n v="72.234999999999999"/>
  </r>
  <r>
    <x v="1"/>
    <x v="5"/>
    <s v="IND"/>
    <x v="3"/>
    <s v="EN.GHG.CO2.BU.MT.CE.AR5"/>
    <n v="111.2212"/>
    <n v="110.5898"/>
    <n v="115.67829999999999"/>
    <n v="197.0061"/>
    <n v="202.4992"/>
    <n v="210.23580000000001"/>
  </r>
  <r>
    <x v="1"/>
    <x v="5"/>
    <s v="IND"/>
    <x v="4"/>
    <s v="EN.GHG.CO2.TR.MT.CE.AR5"/>
    <n v="95.089799999999997"/>
    <n v="94.918400000000005"/>
    <n v="97.737399999999994"/>
    <n v="323.76229999999998"/>
    <n v="332.68349999999998"/>
    <n v="344.34789999999998"/>
  </r>
  <r>
    <x v="1"/>
    <x v="5"/>
    <s v="IND"/>
    <x v="5"/>
    <s v="EN.GHG.CO2.IP.MT.CE.AR5"/>
    <n v="71.3887"/>
    <n v="73.898399999999995"/>
    <n v="79.634600000000006"/>
    <n v="220.31649999999999"/>
    <n v="246.10290000000001"/>
    <n v="258.47800000000001"/>
  </r>
  <r>
    <x v="1"/>
    <x v="5"/>
    <s v="IND"/>
    <x v="6"/>
    <s v="EN.GHG.CO2.AG.MT.CE.AR5"/>
    <n v="16.884799999999998"/>
    <n v="17.426300000000001"/>
    <n v="16.0441"/>
    <n v="30.768999999999998"/>
    <n v="31.920999999999999"/>
    <n v="32.791499999999999"/>
  </r>
  <r>
    <x v="1"/>
    <x v="5"/>
    <s v="IND"/>
    <x v="8"/>
    <s v="EN.GHG.CO2.MT.CE.AR5"/>
    <n v="996.89089999999999"/>
    <n v="1012.998"/>
    <n v="1051.0845999999999"/>
    <n v="2807.0805"/>
    <n v="3014.5225999999998"/>
    <n v="3153.8290999999999"/>
  </r>
  <r>
    <x v="1"/>
    <x v="5"/>
    <s v="IND"/>
    <x v="9"/>
    <s v="MS.MIL.XPRT.KD"/>
    <n v="21000000"/>
    <n v="2000000"/>
    <n v="0"/>
    <n v="7000000"/>
    <n v="41000000"/>
    <n v="25000000"/>
  </r>
  <r>
    <x v="1"/>
    <x v="5"/>
    <s v="IND"/>
    <x v="10"/>
    <s v="MS.MIL.MPRT.KD"/>
    <n v="987000000"/>
    <n v="1184000000"/>
    <n v="2001000000"/>
    <n v="2629000000"/>
    <n v="1491000000"/>
    <n v="1168000000"/>
  </r>
  <r>
    <x v="1"/>
    <x v="5"/>
    <s v="IND"/>
    <x v="11"/>
    <s v="MS.MIL.XPND.CN"/>
    <n v="642103750000"/>
    <n v="688951750000"/>
    <n v="716985750000"/>
    <n v="6279477825000"/>
    <n v="6794795850000"/>
    <n v="7206582450000"/>
  </r>
  <r>
    <x v="1"/>
    <x v="5"/>
    <s v="IND"/>
    <x v="12"/>
    <s v="EN.GHG.CH4.WA.MT.CE.AR5"/>
    <n v="84.216899999999995"/>
    <n v="85.887100000000004"/>
    <n v="87.747500000000002"/>
    <n v="129.8785"/>
    <n v="133.01730000000001"/>
    <n v="135.22800000000001"/>
  </r>
  <r>
    <x v="1"/>
    <x v="5"/>
    <s v="IND"/>
    <x v="13"/>
    <s v="EN.GHG.N2O.WA.MT.CE.AR5"/>
    <n v="10.3241"/>
    <n v="10.5832"/>
    <n v="10.6252"/>
    <n v="18.027999999999999"/>
    <n v="18.475899999999999"/>
    <n v="18.934899999999999"/>
  </r>
  <r>
    <x v="4"/>
    <x v="6"/>
    <s v="FCS"/>
    <x v="0"/>
    <s v="NY.GDP.PCAP.CD"/>
    <n v="751.80126303445286"/>
    <n v="719.21588603833641"/>
    <n v="684.99839699215784"/>
    <n v="1850.9174305476922"/>
    <n v="1682.7505884547566"/>
    <n v="1527.9580951403666"/>
  </r>
  <r>
    <x v="4"/>
    <x v="6"/>
    <s v="FCS"/>
    <x v="2"/>
    <s v="SP.DYN.LE00.IN"/>
    <n v="55.48842498472969"/>
    <n v="55.721269301054939"/>
    <n v="56.150856610411267"/>
    <n v="62.702271566253962"/>
    <n v="63.34994477710751"/>
    <n v="63.6048412656707"/>
  </r>
  <r>
    <x v="4"/>
    <x v="6"/>
    <s v="FCS"/>
    <x v="3"/>
    <s v="EN.GHG.CO2.BU.MT.CE.AR5"/>
    <n v="87.235000000000014"/>
    <n v="88.253599999999992"/>
    <n v="88.072900000000004"/>
    <n v="53.152200000000008"/>
    <n v="53.896299999999997"/>
    <n v="55.4831"/>
  </r>
  <r>
    <x v="4"/>
    <x v="6"/>
    <s v="FCS"/>
    <x v="4"/>
    <s v="EN.GHG.CO2.TR.MT.CE.AR5"/>
    <n v="154.88419999999999"/>
    <n v="166.79750000000007"/>
    <n v="171.95949999999999"/>
    <n v="238.27489999999997"/>
    <n v="244.7627"/>
    <n v="249.8673"/>
  </r>
  <r>
    <x v="4"/>
    <x v="6"/>
    <s v="FCS"/>
    <x v="5"/>
    <s v="EN.GHG.CO2.IP.MT.CE.AR5"/>
    <n v="53.158100000000005"/>
    <n v="58.991100000000003"/>
    <n v="59.615200000000016"/>
    <n v="73.614899999999963"/>
    <n v="73.330799999999982"/>
    <n v="74.61839999999998"/>
  </r>
  <r>
    <x v="4"/>
    <x v="6"/>
    <s v="FCS"/>
    <x v="6"/>
    <s v="EN.GHG.CO2.AG.MT.CE.AR5"/>
    <n v="3.0589999999999988"/>
    <n v="3.0448999999999997"/>
    <n v="3.0787999999999998"/>
    <n v="4.6917999999999997"/>
    <n v="4.7733999999999996"/>
    <n v="4.9564999999999992"/>
  </r>
  <r>
    <x v="4"/>
    <x v="6"/>
    <s v="FCS"/>
    <x v="7"/>
    <s v="EN.GHG.CO2.WA.MT.CE.AR5"/>
    <n v="8.0500000000000002E-2"/>
    <n v="8.5199999999999998E-2"/>
    <n v="8.900000000000001E-2"/>
    <n v="8.4699999999999998E-2"/>
    <n v="8.610000000000001E-2"/>
    <n v="8.7600000000000011E-2"/>
  </r>
  <r>
    <x v="4"/>
    <x v="6"/>
    <s v="FCS"/>
    <x v="8"/>
    <s v="EN.GHG.CO2.MT.CE.AR5"/>
    <n v="873.31500000000017"/>
    <n v="898.85860000000002"/>
    <n v="889.22890000000007"/>
    <n v="836.83139999999992"/>
    <n v="857.41150000000016"/>
    <n v="869.00419999999997"/>
  </r>
  <r>
    <x v="4"/>
    <x v="6"/>
    <s v="FCS"/>
    <x v="12"/>
    <s v="EN.GHG.CH4.WA.MT.CE.AR5"/>
    <n v="72.437399999999982"/>
    <n v="74.69319999999999"/>
    <n v="76.685200000000009"/>
    <n v="137.61319999999998"/>
    <n v="140.37110000000001"/>
    <n v="143.26309999999998"/>
  </r>
  <r>
    <x v="4"/>
    <x v="6"/>
    <s v="FCS"/>
    <x v="13"/>
    <s v="EN.GHG.N2O.WA.MT.CE.AR5"/>
    <n v="5.2944999999999993"/>
    <n v="5.9355999999999982"/>
    <n v="6.1419000000000015"/>
    <n v="10.981800000000002"/>
    <n v="11.163599999999999"/>
    <n v="11.351999999999997"/>
  </r>
  <r>
    <x v="1"/>
    <x v="7"/>
    <s v="MDV"/>
    <x v="0"/>
    <s v="NY.GDP.PCAP.CD"/>
    <n v="2213.8123505317794"/>
    <n v="3033.9323450703646"/>
    <n v="3076.0700716010097"/>
    <n v="11786.019149298254"/>
    <n v="12587.612603865125"/>
    <n v="13379.351357722368"/>
  </r>
  <r>
    <x v="1"/>
    <x v="7"/>
    <s v="MDV"/>
    <x v="2"/>
    <s v="SP.DYN.LE00.IN"/>
    <n v="70.891999999999996"/>
    <n v="71.659000000000006"/>
    <n v="72.36"/>
    <n v="80.760000000000005"/>
    <n v="81.040999999999997"/>
    <n v="81.284999999999997"/>
  </r>
  <r>
    <x v="1"/>
    <x v="7"/>
    <s v="MDV"/>
    <x v="3"/>
    <s v="EN.GHG.CO2.BU.MT.CE.AR5"/>
    <n v="4.07E-2"/>
    <n v="3.8899999999999997E-2"/>
    <n v="4.2299999999999997E-2"/>
    <n v="0.24460000000000001"/>
    <n v="0.24340000000000001"/>
    <n v="0.2545"/>
  </r>
  <r>
    <x v="1"/>
    <x v="7"/>
    <s v="MDV"/>
    <x v="4"/>
    <s v="EN.GHG.CO2.TR.MT.CE.AR5"/>
    <n v="0.26040000000000002"/>
    <n v="0.22520000000000001"/>
    <n v="0.25740000000000002"/>
    <n v="0.90159999999999996"/>
    <n v="0.91069999999999995"/>
    <n v="0.95909999999999995"/>
  </r>
  <r>
    <x v="1"/>
    <x v="7"/>
    <s v="MDV"/>
    <x v="5"/>
    <s v="EN.GHG.CO2.IP.MT.CE.AR5"/>
    <n v="1.6999999999999999E-3"/>
    <n v="1.5E-3"/>
    <n v="1.6999999999999999E-3"/>
    <n v="4.5999999999999999E-3"/>
    <n v="4.3E-3"/>
    <n v="4.0000000000000001E-3"/>
  </r>
  <r>
    <x v="1"/>
    <x v="7"/>
    <s v="MDV"/>
    <x v="7"/>
    <s v="EN.GHG.CO2.WA.MT.CE.AR5"/>
    <n v="1.2999999999999999E-3"/>
    <n v="1.4E-3"/>
    <n v="1.5E-3"/>
    <n v="3.7000000000000002E-3"/>
    <n v="3.8E-3"/>
    <n v="3.8999999999999998E-3"/>
  </r>
  <r>
    <x v="1"/>
    <x v="7"/>
    <s v="MDV"/>
    <x v="8"/>
    <s v="EN.GHG.CO2.MT.CE.AR5"/>
    <n v="0.62780000000000002"/>
    <n v="0.55469999999999997"/>
    <n v="0.67210000000000003"/>
    <n v="1.7895000000000001"/>
    <n v="1.7942"/>
    <n v="1.8824000000000001"/>
  </r>
  <r>
    <x v="1"/>
    <x v="7"/>
    <s v="MDV"/>
    <x v="12"/>
    <s v="EN.GHG.CH4.WA.MT.CE.AR5"/>
    <n v="4.2599999999999999E-2"/>
    <n v="4.5100000000000001E-2"/>
    <n v="4.87E-2"/>
    <n v="0.14899999999999999"/>
    <n v="0.1537"/>
    <n v="0.1585"/>
  </r>
  <r>
    <x v="1"/>
    <x v="7"/>
    <s v="MDV"/>
    <x v="13"/>
    <s v="EN.GHG.N2O.WA.MT.CE.AR5"/>
    <n v="5.1000000000000004E-3"/>
    <n v="5.1999999999999998E-3"/>
    <n v="5.1999999999999998E-3"/>
    <n v="8.6999999999999994E-3"/>
    <n v="8.8000000000000005E-3"/>
    <n v="8.8000000000000005E-3"/>
  </r>
  <r>
    <x v="5"/>
    <x v="8"/>
    <s v="ZAF"/>
    <x v="0"/>
    <s v="NY.GDP.PCAP.CD"/>
    <n v="3217.8469344846712"/>
    <n v="2847.1519194590805"/>
    <n v="2688.2367603280636"/>
    <n v="6534.2486778339689"/>
    <n v="6034.2720896467317"/>
    <n v="6267.1868140930046"/>
  </r>
  <r>
    <x v="5"/>
    <x v="8"/>
    <s v="ZAF"/>
    <x v="2"/>
    <s v="SP.DYN.LE00.IN"/>
    <n v="58.368000000000002"/>
    <n v="57.161000000000001"/>
    <n v="55.58"/>
    <n v="65.453999999999994"/>
    <n v="66.138999999999996"/>
    <n v="66.311999999999998"/>
  </r>
  <r>
    <x v="5"/>
    <x v="8"/>
    <s v="ZAF"/>
    <x v="3"/>
    <s v="EN.GHG.CO2.BU.MT.CE.AR5"/>
    <n v="12.866300000000001"/>
    <n v="16.635000000000002"/>
    <n v="19.671800000000001"/>
    <n v="22.885899999999999"/>
    <n v="22.9985"/>
    <n v="22.671500000000002"/>
  </r>
  <r>
    <x v="5"/>
    <x v="8"/>
    <s v="ZAF"/>
    <x v="4"/>
    <s v="EN.GHG.CO2.TR.MT.CE.AR5"/>
    <n v="35.180300000000003"/>
    <n v="36.005400000000002"/>
    <n v="36.791200000000003"/>
    <n v="47.778599999999997"/>
    <n v="47.720300000000002"/>
    <n v="44.484200000000001"/>
  </r>
  <r>
    <x v="5"/>
    <x v="8"/>
    <s v="ZAF"/>
    <x v="5"/>
    <s v="EN.GHG.CO2.IP.MT.CE.AR5"/>
    <n v="13.9092"/>
    <n v="13.3246"/>
    <n v="14.211600000000001"/>
    <n v="16.827300000000001"/>
    <n v="18.284500000000001"/>
    <n v="19.982299999999999"/>
  </r>
  <r>
    <x v="5"/>
    <x v="8"/>
    <s v="ZAF"/>
    <x v="6"/>
    <s v="EN.GHG.CO2.AG.MT.CE.AR5"/>
    <n v="0.31259999999999999"/>
    <n v="0.3054"/>
    <n v="0.42430000000000001"/>
    <n v="1.2666999999999999"/>
    <n v="1.2777000000000001"/>
    <n v="1.2755000000000001"/>
  </r>
  <r>
    <x v="5"/>
    <x v="8"/>
    <s v="ZAF"/>
    <x v="8"/>
    <s v="EN.GHG.CO2.MT.CE.AR5"/>
    <n v="347.28320000000002"/>
    <n v="357.37880000000001"/>
    <n v="370.77280000000002"/>
    <n v="429.32810000000001"/>
    <n v="427.26690000000002"/>
    <n v="440.1678"/>
  </r>
  <r>
    <x v="5"/>
    <x v="8"/>
    <s v="ZAF"/>
    <x v="9"/>
    <s v="MS.MIL.XPRT.KD"/>
    <n v="21000000"/>
    <n v="37000000"/>
    <n v="22000000"/>
    <n v="68000000"/>
    <n v="58000000"/>
    <n v="27000000"/>
  </r>
  <r>
    <x v="5"/>
    <x v="8"/>
    <s v="ZAF"/>
    <x v="11"/>
    <s v="MS.MIL.XPND.CN"/>
    <n v="13128250000"/>
    <n v="15516000000"/>
    <n v="18615750000"/>
    <n v="53141500000"/>
    <n v="53000325000"/>
    <n v="51974850000"/>
  </r>
  <r>
    <x v="5"/>
    <x v="8"/>
    <s v="ZAF"/>
    <x v="12"/>
    <s v="EN.GHG.CH4.WA.MT.CE.AR5"/>
    <n v="13.295299999999999"/>
    <n v="13.525399999999999"/>
    <n v="14.0418"/>
    <n v="25.3186"/>
    <n v="25.360800000000001"/>
    <n v="25.437899999999999"/>
  </r>
  <r>
    <x v="5"/>
    <x v="8"/>
    <s v="ZAF"/>
    <x v="13"/>
    <s v="EN.GHG.N2O.WA.MT.CE.AR5"/>
    <n v="0.57599999999999996"/>
    <n v="0.58809999999999996"/>
    <n v="0.59470000000000001"/>
    <n v="0.81679999999999997"/>
    <n v="0.83089999999999997"/>
    <n v="0.84519999999999995"/>
  </r>
  <r>
    <x v="0"/>
    <x v="9"/>
    <s v="CHE"/>
    <x v="0"/>
    <s v="NY.GDP.PCAP.CD"/>
    <n v="38865.02193968802"/>
    <n v="39638.791106186392"/>
    <n v="42458.738467918709"/>
    <n v="94394.510680352454"/>
    <n v="100623.54962729648"/>
    <n v="103998.18668560409"/>
  </r>
  <r>
    <x v="0"/>
    <x v="9"/>
    <s v="CHE"/>
    <x v="2"/>
    <s v="SP.DYN.LE00.IN"/>
    <n v="79.680487804878055"/>
    <n v="80.180487804878055"/>
    <n v="80.385365853658541"/>
    <n v="83.604878048780492"/>
    <n v="84.156097560975624"/>
    <n v="84.407317073170745"/>
  </r>
  <r>
    <x v="0"/>
    <x v="9"/>
    <s v="CHE"/>
    <x v="3"/>
    <s v="EN.GHG.CO2.BU.MT.CE.AR5"/>
    <n v="16.360199999999999"/>
    <n v="17.625399999999999"/>
    <n v="16.5809"/>
    <n v="9.9785000000000004"/>
    <n v="9.6178000000000008"/>
    <n v="9.6685999999999996"/>
  </r>
  <r>
    <x v="0"/>
    <x v="9"/>
    <s v="CHE"/>
    <x v="4"/>
    <s v="EN.GHG.CO2.TR.MT.CE.AR5"/>
    <n v="16.549600000000002"/>
    <n v="16.241900000000001"/>
    <n v="16.268799999999999"/>
    <n v="14.461399999999999"/>
    <n v="14.4838"/>
    <n v="14.4941"/>
  </r>
  <r>
    <x v="0"/>
    <x v="9"/>
    <s v="CHE"/>
    <x v="5"/>
    <s v="EN.GHG.CO2.IP.MT.CE.AR5"/>
    <n v="2.6964999999999999"/>
    <n v="2.7197"/>
    <n v="2.6318999999999999"/>
    <n v="2.5878000000000001"/>
    <n v="2.5506000000000002"/>
    <n v="2.5707"/>
  </r>
  <r>
    <x v="0"/>
    <x v="9"/>
    <s v="CHE"/>
    <x v="6"/>
    <s v="EN.GHG.CO2.AG.MT.CE.AR5"/>
    <n v="4.24E-2"/>
    <n v="3.3000000000000002E-2"/>
    <n v="2.6700000000000002E-2"/>
    <n v="3.5999999999999997E-2"/>
    <n v="4.07E-2"/>
    <n v="4.6199999999999998E-2"/>
  </r>
  <r>
    <x v="0"/>
    <x v="9"/>
    <s v="CHE"/>
    <x v="7"/>
    <s v="EN.GHG.CO2.WA.MT.CE.AR5"/>
    <n v="3.8E-3"/>
    <n v="3.0000000000000001E-3"/>
    <n v="2.3E-3"/>
    <n v="1.4E-3"/>
    <n v="1.4E-3"/>
    <n v="1.2999999999999999E-3"/>
  </r>
  <r>
    <x v="0"/>
    <x v="9"/>
    <s v="CHE"/>
    <x v="8"/>
    <s v="EN.GHG.CO2.MT.CE.AR5"/>
    <n v="44.764299999999999"/>
    <n v="46.188699999999997"/>
    <n v="44.5779"/>
    <n v="34.480499999999999"/>
    <n v="33.6661"/>
    <n v="33.732100000000003"/>
  </r>
  <r>
    <x v="0"/>
    <x v="9"/>
    <s v="CHE"/>
    <x v="9"/>
    <s v="MS.MIL.XPRT.KD"/>
    <n v="139000000"/>
    <n v="218000000"/>
    <n v="177000000"/>
    <n v="176000000"/>
    <n v="63000000"/>
    <n v="33000000"/>
  </r>
  <r>
    <x v="0"/>
    <x v="9"/>
    <s v="CHE"/>
    <x v="11"/>
    <s v="MS.MIL.XPND.CN"/>
    <n v="4729000000"/>
    <n v="4664000000"/>
    <n v="4493000000"/>
    <n v="5395700000"/>
    <n v="5670900000"/>
    <n v="5919600000"/>
  </r>
  <r>
    <x v="0"/>
    <x v="9"/>
    <s v="CHE"/>
    <x v="12"/>
    <s v="EN.GHG.CH4.WA.MT.CE.AR5"/>
    <n v="0.52610000000000001"/>
    <n v="0.50470000000000004"/>
    <n v="0.47410000000000002"/>
    <n v="0.24959999999999999"/>
    <n v="0.2477"/>
    <n v="0.24740000000000001"/>
  </r>
  <r>
    <x v="0"/>
    <x v="9"/>
    <s v="CHE"/>
    <x v="13"/>
    <s v="EN.GHG.N2O.WA.MT.CE.AR5"/>
    <n v="0.1376"/>
    <n v="0.13950000000000001"/>
    <n v="0.13969999999999999"/>
    <n v="0.1726"/>
    <n v="0.1744"/>
    <n v="0.17630000000000001"/>
  </r>
  <r>
    <x v="6"/>
    <x v="10"/>
    <s v="USA"/>
    <x v="0"/>
    <s v="NY.GDP.PCAP.CD"/>
    <n v="36329.956072710193"/>
    <n v="37133.623113437039"/>
    <n v="37997.759657305127"/>
    <n v="76657.248884440341"/>
    <n v="81032.26211754496"/>
    <n v="84534.040784154844"/>
  </r>
  <r>
    <x v="6"/>
    <x v="10"/>
    <s v="USA"/>
    <x v="2"/>
    <s v="SP.DYN.LE00.IN"/>
    <n v="76.636585365853662"/>
    <n v="76.836585365853665"/>
    <n v="76.936585365853659"/>
    <n v="77.434146341463432"/>
    <n v="78.385365853658541"/>
    <n v="78.890243902439039"/>
  </r>
  <r>
    <x v="6"/>
    <x v="10"/>
    <s v="USA"/>
    <x v="3"/>
    <s v="EN.GHG.CO2.BU.MT.CE.AR5"/>
    <n v="643.45979999999997"/>
    <n v="629.28290000000004"/>
    <n v="633.20399999999995"/>
    <n v="591.73789999999997"/>
    <n v="551.27769999999998"/>
    <n v="557.84519999999998"/>
  </r>
  <r>
    <x v="6"/>
    <x v="10"/>
    <s v="USA"/>
    <x v="4"/>
    <s v="EN.GHG.CO2.TR.MT.CE.AR5"/>
    <n v="1717.8487"/>
    <n v="1720.0372"/>
    <n v="1741.6418000000001"/>
    <n v="1699.4280000000001"/>
    <n v="1674.9644000000001"/>
    <n v="1678.5621000000001"/>
  </r>
  <r>
    <x v="6"/>
    <x v="10"/>
    <s v="USA"/>
    <x v="5"/>
    <s v="EN.GHG.CO2.IP.MT.CE.AR5"/>
    <n v="161.81899999999999"/>
    <n v="139.10310000000001"/>
    <n v="144.94560000000001"/>
    <n v="162.76249999999999"/>
    <n v="157.42609999999999"/>
    <n v="155.7201"/>
  </r>
  <r>
    <x v="6"/>
    <x v="10"/>
    <s v="USA"/>
    <x v="6"/>
    <s v="EN.GHG.CO2.AG.MT.CE.AR5"/>
    <n v="5.3926999999999996"/>
    <n v="5.6406000000000001"/>
    <n v="5.7584999999999997"/>
    <n v="6.8973000000000004"/>
    <n v="6.8040000000000003"/>
    <n v="6.8367000000000004"/>
  </r>
  <r>
    <x v="6"/>
    <x v="10"/>
    <s v="USA"/>
    <x v="8"/>
    <s v="EN.GHG.CO2.MT.CE.AR5"/>
    <n v="5928.7614000000003"/>
    <n v="5877.6293999999998"/>
    <n v="5726.7267000000002"/>
    <n v="4815.7664999999997"/>
    <n v="4618.2674999999999"/>
    <n v="4632.1648999999998"/>
  </r>
  <r>
    <x v="6"/>
    <x v="10"/>
    <s v="USA"/>
    <x v="9"/>
    <s v="MS.MIL.XPRT.KD"/>
    <n v="7677000000"/>
    <n v="5597000000"/>
    <n v="4888000000"/>
    <n v="15351000000"/>
    <n v="11102000000"/>
    <n v="13512000000"/>
  </r>
  <r>
    <x v="6"/>
    <x v="10"/>
    <s v="USA"/>
    <x v="10"/>
    <s v="MS.MIL.MPRT.KD"/>
    <n v="333000000"/>
    <n v="508000000"/>
    <n v="515000000"/>
    <n v="733000000"/>
    <n v="792000000"/>
    <n v="1209000000"/>
  </r>
  <r>
    <x v="6"/>
    <x v="10"/>
    <s v="USA"/>
    <x v="11"/>
    <s v="MS.MIL.XPND.CN"/>
    <n v="320086324211.19598"/>
    <n v="331805610572.13702"/>
    <n v="378463138753.841"/>
    <n v="860692200000"/>
    <n v="916014700000"/>
    <n v="997309000000"/>
  </r>
  <r>
    <x v="6"/>
    <x v="10"/>
    <s v="USA"/>
    <x v="12"/>
    <s v="EN.GHG.CH4.WA.MT.CE.AR5"/>
    <n v="183.5909"/>
    <n v="178.1472"/>
    <n v="176.40979999999999"/>
    <n v="149.1806"/>
    <n v="149.108"/>
    <n v="149.52260000000001"/>
  </r>
  <r>
    <x v="6"/>
    <x v="10"/>
    <s v="USA"/>
    <x v="13"/>
    <s v="EN.GHG.N2O.WA.MT.CE.AR5"/>
    <n v="7.2603999999999997"/>
    <n v="7.3564999999999996"/>
    <n v="7.4330999999999996"/>
    <n v="9.7754999999999992"/>
    <n v="9.8556000000000008"/>
    <n v="9.9375"/>
  </r>
  <r>
    <x v="1"/>
    <x v="11"/>
    <s v="VNM"/>
    <x v="0"/>
    <s v="NY.GDP.PCAP.CD"/>
    <n v="404.02978405511834"/>
    <n v="419.20567758090067"/>
    <n v="445.13286181731331"/>
    <n v="4147.69777213621"/>
    <n v="4323.3503198245135"/>
    <n v="4717.2902873244884"/>
  </r>
  <r>
    <x v="1"/>
    <x v="11"/>
    <s v="VNM"/>
    <x v="2"/>
    <s v="SP.DYN.LE00.IN"/>
    <n v="72.745999999999995"/>
    <n v="72.983999999999995"/>
    <n v="73.138000000000005"/>
    <n v="74.501999999999995"/>
    <n v="74.587999999999994"/>
    <n v="74.736000000000004"/>
  </r>
  <r>
    <x v="1"/>
    <x v="11"/>
    <s v="VNM"/>
    <x v="3"/>
    <s v="EN.GHG.CO2.BU.MT.CE.AR5"/>
    <n v="7.7333999999999996"/>
    <n v="8.7072000000000003"/>
    <n v="9.4367000000000001"/>
    <n v="14.460800000000001"/>
    <n v="15.6059"/>
    <n v="16.779900000000001"/>
  </r>
  <r>
    <x v="1"/>
    <x v="11"/>
    <s v="VNM"/>
    <x v="4"/>
    <s v="EN.GHG.CO2.TR.MT.CE.AR5"/>
    <n v="10.569699999999999"/>
    <n v="11.294600000000001"/>
    <n v="13.8393"/>
    <n v="43.83"/>
    <n v="47.650500000000001"/>
    <n v="51.416499999999999"/>
  </r>
  <r>
    <x v="1"/>
    <x v="11"/>
    <s v="VNM"/>
    <x v="5"/>
    <s v="EN.GHG.CO2.IP.MT.CE.AR5"/>
    <n v="8.6166"/>
    <n v="9.8926999999999996"/>
    <n v="12.385999999999999"/>
    <n v="53.207299999999996"/>
    <n v="50.189799999999998"/>
    <n v="50.2806"/>
  </r>
  <r>
    <x v="1"/>
    <x v="11"/>
    <s v="VNM"/>
    <x v="6"/>
    <s v="EN.GHG.CO2.AG.MT.CE.AR5"/>
    <n v="2.1827000000000001"/>
    <n v="1.8815"/>
    <n v="2.2867999999999999"/>
    <n v="2.3906000000000001"/>
    <n v="2.2227999999999999"/>
    <n v="2.1665000000000001"/>
  </r>
  <r>
    <x v="1"/>
    <x v="11"/>
    <s v="VNM"/>
    <x v="7"/>
    <s v="EN.GHG.CO2.WA.MT.CE.AR5"/>
    <n v="7.0000000000000001E-3"/>
    <n v="7.3000000000000001E-3"/>
    <n v="7.4999999999999997E-3"/>
    <n v="5.0700000000000002E-2"/>
    <n v="5.1999999999999998E-2"/>
    <n v="5.3400000000000003E-2"/>
  </r>
  <r>
    <x v="1"/>
    <x v="11"/>
    <s v="VNM"/>
    <x v="8"/>
    <s v="EN.GHG.CO2.MT.CE.AR5"/>
    <n v="56.535600000000002"/>
    <n v="62.091700000000003"/>
    <n v="73.081800000000001"/>
    <n v="343.99990000000003"/>
    <n v="390.7253"/>
    <n v="430.81920000000002"/>
  </r>
  <r>
    <x v="1"/>
    <x v="11"/>
    <s v="VNM"/>
    <x v="10"/>
    <s v="MS.MIL.MPRT.KD"/>
    <n v="11000000"/>
    <n v="97000000"/>
    <n v="58000000"/>
    <n v="96000000"/>
    <n v="55000000"/>
    <n v="58000000"/>
  </r>
  <r>
    <x v="1"/>
    <x v="11"/>
    <s v="VNM"/>
    <x v="12"/>
    <s v="EN.GHG.CH4.WA.MT.CE.AR5"/>
    <n v="7.1657999999999999"/>
    <n v="7.4101999999999997"/>
    <n v="7.6605999999999996"/>
    <n v="16.2973"/>
    <n v="16.780200000000001"/>
    <n v="17.279599999999999"/>
  </r>
  <r>
    <x v="1"/>
    <x v="11"/>
    <s v="VNM"/>
    <x v="13"/>
    <s v="EN.GHG.N2O.WA.MT.CE.AR5"/>
    <n v="0.75349999999999995"/>
    <n v="0.76970000000000005"/>
    <n v="0.80630000000000002"/>
    <n v="1.643"/>
    <n v="1.6826000000000001"/>
    <n v="1.7233000000000001"/>
  </r>
  <r>
    <x v="4"/>
    <x v="12"/>
    <s v="WLD"/>
    <x v="0"/>
    <s v="NY.GDP.PCAP.CD"/>
    <n v="5501.2642181645369"/>
    <n v="5394.6851252672423"/>
    <n v="5530.0210426296462"/>
    <n v="12798.165846531856"/>
    <n v="13236.716396091662"/>
    <n v="13631.204309721546"/>
  </r>
  <r>
    <x v="4"/>
    <x v="12"/>
    <s v="WLD"/>
    <x v="2"/>
    <s v="SP.DYN.LE00.IN"/>
    <n v="67.649722469737824"/>
    <n v="67.944397101655667"/>
    <n v="68.23056330633932"/>
    <n v="72.967558148223674"/>
    <n v="73.32884010428252"/>
    <n v="73.480380292779031"/>
  </r>
  <r>
    <x v="4"/>
    <x v="12"/>
    <s v="WLD"/>
    <x v="3"/>
    <s v="EN.GHG.CO2.BU.MT.CE.AR5"/>
    <n v="3037.6474136399002"/>
    <n v="3073.3965378897001"/>
    <n v="3073.0729395589001"/>
    <n v="3286.4535691134001"/>
    <n v="3203.6112592605"/>
    <n v="3253.7696760577001"/>
  </r>
  <r>
    <x v="4"/>
    <x v="12"/>
    <s v="WLD"/>
    <x v="4"/>
    <s v="EN.GHG.CO2.TR.MT.CE.AR5"/>
    <n v="5781.0845053088997"/>
    <n v="5810.2713159331997"/>
    <n v="5961.8688239825997"/>
    <n v="7964.5480454438002"/>
    <n v="8202.7090737859999"/>
    <n v="8299.2483057986992"/>
  </r>
  <r>
    <x v="4"/>
    <x v="12"/>
    <s v="WLD"/>
    <x v="5"/>
    <s v="EN.GHG.CO2.IP.MT.CE.AR5"/>
    <n v="1595.0286063441999"/>
    <n v="1619.3252311711001"/>
    <n v="1698.9405601344999"/>
    <n v="3227.0240780510999"/>
    <n v="3226.5414089022001"/>
    <n v="3192.3815420554001"/>
  </r>
  <r>
    <x v="4"/>
    <x v="12"/>
    <s v="WLD"/>
    <x v="6"/>
    <s v="EN.GHG.CO2.AG.MT.CE.AR5"/>
    <n v="107.02767802891999"/>
    <n v="108.41556033102999"/>
    <n v="113.34434811294"/>
    <n v="140.59882085538001"/>
    <n v="142.00671577711"/>
    <n v="143.47393777721999"/>
  </r>
  <r>
    <x v="4"/>
    <x v="12"/>
    <s v="WLD"/>
    <x v="7"/>
    <s v="EN.GHG.CO2.WA.MT.CE.AR5"/>
    <n v="11.27846769324"/>
    <n v="11.191130768556"/>
    <n v="11.016365374735001"/>
    <n v="13.306829330154001"/>
    <n v="13.332081690794"/>
    <n v="13.368387774895"/>
  </r>
  <r>
    <x v="4"/>
    <x v="12"/>
    <s v="WLD"/>
    <x v="8"/>
    <s v="EN.GHG.CO2.MT.CE.AR5"/>
    <n v="25694.728676422001"/>
    <n v="26000.902282104998"/>
    <n v="26414.844014518301"/>
    <n v="38548.118942762398"/>
    <n v="39112.688790101303"/>
    <n v="39632.664218542202"/>
  </r>
  <r>
    <x v="4"/>
    <x v="12"/>
    <s v="WLD"/>
    <x v="9"/>
    <s v="MS.MIL.XPRT.KD"/>
    <n v="30260000000"/>
    <n v="28069000000"/>
    <n v="24236000000"/>
    <n v="27833000000"/>
    <n v="27225000000"/>
    <n v="26995000000"/>
  </r>
  <r>
    <x v="4"/>
    <x v="12"/>
    <s v="WLD"/>
    <x v="10"/>
    <s v="MS.MIL.MPRT.KD"/>
    <n v="19311000000"/>
    <n v="18427000000"/>
    <n v="17783000000"/>
    <n v="33610000000"/>
    <n v="29664000000"/>
    <n v="28815000000"/>
  </r>
  <r>
    <x v="4"/>
    <x v="12"/>
    <s v="WLD"/>
    <x v="12"/>
    <s v="EN.GHG.CH4.WA.MT.CE.AR5"/>
    <n v="1244.7464566440001"/>
    <n v="1254.7120283811"/>
    <n v="1270.1775076253"/>
    <n v="1664.6576571159001"/>
    <n v="1648.3467519858"/>
    <n v="1651.6650100979"/>
  </r>
  <r>
    <x v="4"/>
    <x v="12"/>
    <s v="WLD"/>
    <x v="13"/>
    <s v="EN.GHG.N2O.WA.MT.CE.AR5"/>
    <n v="84.299379417799997"/>
    <n v="86.457716595378002"/>
    <n v="87.561408409338995"/>
    <n v="133.70956914077999"/>
    <n v="135.73901167802001"/>
    <n v="137.84405173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591BD-5D4C-4CFB-A4C1-589DBDD7D633}"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G11" firstHeaderRow="0" firstDataRow="1" firstDataCol="1"/>
  <pivotFields count="11">
    <pivotField axis="axisRow" showAll="0">
      <items count="8">
        <item sd="0" x="5"/>
        <item sd="0" x="1"/>
        <item sd="0" x="0"/>
        <item sd="0" x="4"/>
        <item sd="0" x="6"/>
        <item sd="0" x="2"/>
        <item sd="0" x="3"/>
        <item t="default"/>
      </items>
    </pivotField>
    <pivotField axis="axisRow" showAll="0">
      <items count="14">
        <item x="2"/>
        <item x="3"/>
        <item x="1"/>
        <item x="6"/>
        <item x="4"/>
        <item x="5"/>
        <item x="0"/>
        <item x="7"/>
        <item x="8"/>
        <item x="9"/>
        <item x="10"/>
        <item x="11"/>
        <item x="12"/>
        <item t="default"/>
      </items>
    </pivotField>
    <pivotField showAll="0"/>
    <pivotField showAll="0">
      <items count="15">
        <item x="9"/>
        <item x="10"/>
        <item x="8"/>
        <item x="6"/>
        <item x="3"/>
        <item x="5"/>
        <item x="4"/>
        <item x="7"/>
        <item x="1"/>
        <item x="0"/>
        <item x="2"/>
        <item x="12"/>
        <item x="11"/>
        <item x="13"/>
        <item t="default"/>
      </items>
    </pivotField>
    <pivotField showAll="0"/>
    <pivotField dataField="1" showAll="0"/>
    <pivotField dataField="1" showAll="0"/>
    <pivotField dataField="1" showAll="0"/>
    <pivotField dataField="1" showAll="0"/>
    <pivotField dataField="1" showAll="0"/>
    <pivotField dataField="1" showAll="0"/>
  </pivotFields>
  <rowFields count="2">
    <field x="0"/>
    <field x="1"/>
  </rowFields>
  <rowItems count="8">
    <i>
      <x/>
    </i>
    <i>
      <x v="1"/>
    </i>
    <i>
      <x v="2"/>
    </i>
    <i>
      <x v="3"/>
    </i>
    <i>
      <x v="4"/>
    </i>
    <i>
      <x v="5"/>
    </i>
    <i>
      <x v="6"/>
    </i>
    <i t="grand">
      <x/>
    </i>
  </rowItems>
  <colFields count="1">
    <field x="-2"/>
  </colFields>
  <colItems count="6">
    <i>
      <x/>
    </i>
    <i i="1">
      <x v="1"/>
    </i>
    <i i="2">
      <x v="2"/>
    </i>
    <i i="3">
      <x v="3"/>
    </i>
    <i i="4">
      <x v="4"/>
    </i>
    <i i="5">
      <x v="5"/>
    </i>
  </colItems>
  <dataFields count="6">
    <dataField name="Media di 2000" fld="5" subtotal="average" baseField="0" baseItem="0"/>
    <dataField name="Media di 2001" fld="6" subtotal="average" baseField="0" baseItem="0"/>
    <dataField name="Media di 2002" fld="7" subtotal="average" baseField="0" baseItem="0"/>
    <dataField name="Media di 2022" fld="8" subtotal="average" baseField="0" baseItem="0"/>
    <dataField name="Media di 2023" fld="9" subtotal="average" baseField="0" baseItem="0"/>
    <dataField name="Media di 2024"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2" connectionId="2" xr16:uid="{A940E645-1430-4A4B-A3F0-D22402BA813C}" autoFormatId="16" applyNumberFormats="0" applyBorderFormats="0" applyFontFormats="0" applyPatternFormats="0" applyAlignmentFormats="0" applyWidthHeightFormats="0">
  <queryTableRefresh nextId="20" unboundColumnsRight="2">
    <queryTableFields count="13">
      <queryTableField id="1" name="Continente" tableColumnId="1"/>
      <queryTableField id="2" name="Country Name" tableColumnId="2"/>
      <queryTableField id="3" name="Country Code" tableColumnId="3"/>
      <queryTableField id="4" name="Series Name" tableColumnId="4"/>
      <queryTableField id="5" name="Series Code" tableColumnId="5"/>
      <queryTableField id="12" name="2000" tableColumnId="12"/>
      <queryTableField id="13" name="2001" tableColumnId="13"/>
      <queryTableField id="14" name="2002" tableColumnId="14"/>
      <queryTableField id="15" name="2022" tableColumnId="15"/>
      <queryTableField id="16" name="2023" tableColumnId="16"/>
      <queryTableField id="17" name="2024" tableColumnId="17"/>
      <queryTableField id="18" dataBound="0" tableColumnId="18"/>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1" xr16:uid="{EFE9A991-91D3-43AE-AC89-BEF93D8125D1}" autoFormatId="16" applyNumberFormats="0" applyBorderFormats="0" applyFontFormats="0" applyPatternFormats="0" applyAlignmentFormats="0" applyWidthHeightFormats="0">
  <queryTableRefresh nextId="3">
    <queryTableFields count="2">
      <queryTableField id="1" name="Country Name" tableColumnId="1"/>
      <queryTableField id="2" name="Continent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3" xr16:uid="{B281C595-6EA4-47EE-A7CE-2FE7E79B0662}" autoFormatId="16" applyNumberFormats="0" applyBorderFormats="0" applyFontFormats="0" applyPatternFormats="0" applyAlignmentFormats="0" applyWidthHeightFormats="0">
  <queryTableRefresh nextId="11">
    <queryTableFields count="10">
      <queryTableField id="1" name="Country Name" tableColumnId="1"/>
      <queryTableField id="2" name="Country Code" tableColumnId="2"/>
      <queryTableField id="3" name="Series Name" tableColumnId="3"/>
      <queryTableField id="4" name="Series Code" tableColumnId="4"/>
      <queryTableField id="5" name="2000 [YR2000]" tableColumnId="5"/>
      <queryTableField id="6" name="2001 [YR2001]" tableColumnId="6"/>
      <queryTableField id="7" name="2002 [YR2002]" tableColumnId="7"/>
      <queryTableField id="8" name="2022 [YR2022]" tableColumnId="8"/>
      <queryTableField id="9" name="2023 [YR2023]" tableColumnId="9"/>
      <queryTableField id="10" name="2024 [YR2024]"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ountry_Name" xr10:uid="{4DDB920F-DEB8-49CD-A37C-E362ADD76989}" sourceName="Country Name">
  <pivotTables>
    <pivotTable tabId="6" name="Tabella pivot1"/>
  </pivotTables>
  <data>
    <tabular pivotCacheId="942674907">
      <items count="13">
        <i x="2" s="1"/>
        <i x="3" s="1"/>
        <i x="1" s="1"/>
        <i x="6" s="1"/>
        <i x="4" s="1"/>
        <i x="5" s="1"/>
        <i x="0"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Series_Name" xr10:uid="{F0FC7959-EB84-4507-A06C-1403E6537094}" sourceName="Series Name">
  <pivotTables>
    <pivotTable tabId="6" name="Tabella pivot1"/>
  </pivotTables>
  <data>
    <tabular pivotCacheId="942674907">
      <items count="14">
        <i x="9" s="1"/>
        <i x="10" s="1"/>
        <i x="8" s="1"/>
        <i x="6" s="1"/>
        <i x="3" s="1"/>
        <i x="5" s="1"/>
        <i x="4" s="1"/>
        <i x="7" s="1"/>
        <i x="1" s="1"/>
        <i x="0" s="1"/>
        <i x="2" s="1"/>
        <i x="12" s="1"/>
        <i x="1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F2241FB0-EB59-47A4-9372-02EA704BE991}" cache="FiltroDati_Country_Name" caption="Country Name" style="SlicerStyleLight2" rowHeight="234950"/>
  <slicer name="Series Name" xr10:uid="{A208B4A0-5A04-46F8-8A0A-670BC6BC3D9D}" cache="FiltroDati_Series_Name" caption="Series Name"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3DFBCF-99EC-4992-B5F4-F9EA30C2F41B}" name="Definitivo" displayName="Definitivo" ref="A1:M154" tableType="queryTable" totalsRowShown="0" headerRowDxfId="30" dataDxfId="28" headerRowBorderDxfId="29" tableBorderDxfId="27">
  <autoFilter ref="A1:M154" xr:uid="{BD3DFBCF-99EC-4992-B5F4-F9EA30C2F41B}"/>
  <tableColumns count="13">
    <tableColumn id="1" xr3:uid="{530E3B97-7721-44AB-B56B-1435852172C1}" uniqueName="1" name="Continente" queryTableFieldId="1" dataDxfId="26"/>
    <tableColumn id="2" xr3:uid="{10068DAF-6C6C-46F5-BB04-866FF955FC4E}" uniqueName="2" name="Country Name" queryTableFieldId="2" dataDxfId="25"/>
    <tableColumn id="3" xr3:uid="{228C34CB-9F12-4FB8-8329-E5C1ECC360BD}" uniqueName="3" name="Country Code" queryTableFieldId="3" dataDxfId="24"/>
    <tableColumn id="4" xr3:uid="{5929FEED-ADC3-46AB-8393-F99BC6BFE562}" uniqueName="4" name="Series Name" queryTableFieldId="4" dataDxfId="23"/>
    <tableColumn id="5" xr3:uid="{40B81822-613D-46E7-9A4D-B4192591B384}" uniqueName="5" name="Series Code" queryTableFieldId="5" dataDxfId="22"/>
    <tableColumn id="12" xr3:uid="{B069542B-686E-4D27-B5F0-556C250A6881}" uniqueName="12" name="2000" queryTableFieldId="12" dataDxfId="21"/>
    <tableColumn id="13" xr3:uid="{BF2530E6-FF5B-4614-8E78-E1402B5A2E42}" uniqueName="13" name="2001" queryTableFieldId="13" dataDxfId="20"/>
    <tableColumn id="14" xr3:uid="{529E7B97-3922-4AA2-9A47-8B830E3C00BD}" uniqueName="14" name="2002" queryTableFieldId="14" dataDxfId="19"/>
    <tableColumn id="15" xr3:uid="{99848501-2E28-4D6D-923B-68D48AA7A70C}" uniqueName="15" name="2022" queryTableFieldId="15" dataDxfId="18"/>
    <tableColumn id="16" xr3:uid="{411BDEDC-9773-496B-B10E-2DE38A81FA1D}" uniqueName="16" name="2023" queryTableFieldId="16" dataDxfId="17"/>
    <tableColumn id="17" xr3:uid="{9FC9F5D1-AA0B-48FD-A21A-FC0041A9B7B6}" uniqueName="17" name="2024" queryTableFieldId="17" dataDxfId="16"/>
    <tableColumn id="18" xr3:uid="{236F7CBA-3B92-4410-ADF3-E6833DBE804E}" uniqueName="18" name="Tasso Crescita dal 2000" queryTableFieldId="18" dataDxfId="15">
      <calculatedColumnFormula>IFERROR((Definitivo[[#This Row],[2024]]-Definitivo[[#This Row],[2000]])/Definitivo[[#This Row],[2000]],0)</calculatedColumnFormula>
    </tableColumn>
    <tableColumn id="19" xr3:uid="{41449D8A-5B4A-4B4C-B0E0-FA4407128087}" uniqueName="19" name="Tasso Crescita dal 2022" queryTableFieldId="19" dataDxfId="14">
      <calculatedColumnFormula>IFERROR((Definitivo[[#This Row],[2024]]-Definitivo[[#This Row],[2022]])/Definitivo[[#This Row],[2022]],0)</calculatedColumnFormula>
    </tableColumn>
  </tableColumns>
  <tableStyleInfo name="Pink"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3257C1-3510-4B87-AFE6-C50F107A5E82}" name="Continenti" displayName="Continenti" ref="A1:B314" tableType="queryTable" totalsRowShown="0">
  <autoFilter ref="A1:B314" xr:uid="{FF3257C1-3510-4B87-AFE6-C50F107A5E82}"/>
  <tableColumns count="2">
    <tableColumn id="1" xr3:uid="{5E983681-4971-4711-8B6D-278DE36F9B25}" uniqueName="1" name="Country Name" queryTableFieldId="1" dataDxfId="13"/>
    <tableColumn id="2" xr3:uid="{FA27076C-C64C-469D-AFBA-3756054E2B53}" uniqueName="2" name="Continente" queryTableFieldId="2"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58E440-78A7-4735-AE98-FCB14A65194E}" name="Principale" displayName="Principale" ref="A1:J154" tableType="queryTable" totalsRowShown="0">
  <autoFilter ref="A1:J154" xr:uid="{EF58E440-78A7-4735-AE98-FCB14A65194E}"/>
  <tableColumns count="10">
    <tableColumn id="1" xr3:uid="{0FF93569-2C08-4DB5-AD92-786A1FC9373F}" uniqueName="1" name="Country Name" queryTableFieldId="1" dataDxfId="11"/>
    <tableColumn id="2" xr3:uid="{D3E02664-CBA6-4199-9F7E-1CE424D855C9}" uniqueName="2" name="Country Code" queryTableFieldId="2" dataDxfId="10"/>
    <tableColumn id="3" xr3:uid="{AD95747C-7896-4353-A7BA-74137F22265D}" uniqueName="3" name="Series Name" queryTableFieldId="3" dataDxfId="9"/>
    <tableColumn id="4" xr3:uid="{62D1B537-BB99-4B21-9605-17DEE90D096D}" uniqueName="4" name="Series Code" queryTableFieldId="4" dataDxfId="8"/>
    <tableColumn id="5" xr3:uid="{6838F7CE-38F8-4FE1-9C80-CDE6B3226FCD}" uniqueName="5" name="2000 [YR2000]" queryTableFieldId="5" dataDxfId="7"/>
    <tableColumn id="6" xr3:uid="{7C817D76-F550-4DD7-87B0-CFEAF1071E8D}" uniqueName="6" name="2001 [YR2001]" queryTableFieldId="6" dataDxfId="6"/>
    <tableColumn id="7" xr3:uid="{0B20424B-065B-4AB6-9923-F63115D9414A}" uniqueName="7" name="2002 [YR2002]" queryTableFieldId="7" dataDxfId="5"/>
    <tableColumn id="8" xr3:uid="{66205E80-F749-4481-9B1B-EAA2FD2D589B}" uniqueName="8" name="2022 [YR2022]" queryTableFieldId="8" dataDxfId="4"/>
    <tableColumn id="9" xr3:uid="{05F06E64-050B-4B91-893B-9BF39DEED671}" uniqueName="9" name="2023 [YR2023]" queryTableFieldId="9" dataDxfId="3"/>
    <tableColumn id="10" xr3:uid="{F53894EB-851D-4946-A441-7F023458787F}" uniqueName="10" name="2024 [YR2024]" queryTableFieldId="1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E80C-0B80-47F4-86F3-2A006F239628}">
  <dimension ref="A1:Y154"/>
  <sheetViews>
    <sheetView tabSelected="1" topLeftCell="G1" workbookViewId="0">
      <pane ySplit="1" topLeftCell="A2" activePane="bottomLeft" state="frozen"/>
      <selection pane="bottomLeft" activeCell="E146" sqref="E146"/>
    </sheetView>
  </sheetViews>
  <sheetFormatPr defaultRowHeight="14.4" x14ac:dyDescent="0.3"/>
  <cols>
    <col min="1" max="1" width="16.77734375" bestFit="1" customWidth="1"/>
    <col min="2" max="2" width="35" bestFit="1" customWidth="1"/>
    <col min="3" max="3" width="19.77734375" bestFit="1" customWidth="1"/>
    <col min="4" max="4" width="63.21875" bestFit="1" customWidth="1"/>
    <col min="5" max="5" width="27.33203125" bestFit="1" customWidth="1"/>
    <col min="6" max="11" width="14.6640625" bestFit="1" customWidth="1"/>
    <col min="12" max="12" width="20.88671875" bestFit="1" customWidth="1"/>
    <col min="13" max="13" width="20.88671875" customWidth="1"/>
    <col min="14" max="14" width="3.77734375" customWidth="1"/>
    <col min="20" max="20" width="3.77734375" customWidth="1"/>
  </cols>
  <sheetData>
    <row r="1" spans="1:25" s="2" customFormat="1" ht="45" thickBot="1" x14ac:dyDescent="0.35">
      <c r="A1" s="9" t="s">
        <v>64</v>
      </c>
      <c r="B1" s="10" t="s">
        <v>0</v>
      </c>
      <c r="C1" s="10" t="s">
        <v>1</v>
      </c>
      <c r="D1" s="10" t="s">
        <v>2</v>
      </c>
      <c r="E1" s="14" t="s">
        <v>3</v>
      </c>
      <c r="F1" s="11" t="s">
        <v>379</v>
      </c>
      <c r="G1" s="11" t="s">
        <v>380</v>
      </c>
      <c r="H1" s="11" t="s">
        <v>381</v>
      </c>
      <c r="I1" s="11" t="s">
        <v>382</v>
      </c>
      <c r="J1" s="11" t="s">
        <v>383</v>
      </c>
      <c r="K1" s="11" t="s">
        <v>384</v>
      </c>
      <c r="L1" s="12" t="s">
        <v>411</v>
      </c>
      <c r="M1" s="23" t="s">
        <v>412</v>
      </c>
      <c r="N1" s="6"/>
      <c r="O1" s="75" t="s">
        <v>404</v>
      </c>
      <c r="P1" s="76"/>
      <c r="Q1" s="76"/>
      <c r="R1" s="76"/>
      <c r="S1" s="77"/>
      <c r="T1" s="8"/>
      <c r="U1" s="75" t="s">
        <v>405</v>
      </c>
      <c r="V1" s="76"/>
      <c r="W1" s="76"/>
      <c r="X1" s="76"/>
      <c r="Y1" s="77"/>
    </row>
    <row r="2" spans="1:25" ht="18.600000000000001" thickBot="1" x14ac:dyDescent="0.35">
      <c r="A2" s="17" t="s">
        <v>71</v>
      </c>
      <c r="B2" s="16" t="s">
        <v>10</v>
      </c>
      <c r="C2" s="16" t="s">
        <v>11</v>
      </c>
      <c r="D2" s="15" t="s">
        <v>12</v>
      </c>
      <c r="E2" s="15" t="s">
        <v>13</v>
      </c>
      <c r="F2" s="13">
        <v>20190.00356360841</v>
      </c>
      <c r="G2" s="13">
        <v>20570.438591786176</v>
      </c>
      <c r="H2" s="13">
        <v>22451.396437936848</v>
      </c>
      <c r="I2" s="13">
        <v>35653.904210349501</v>
      </c>
      <c r="J2" s="13">
        <v>39277.083878391779</v>
      </c>
      <c r="K2" s="13">
        <v>40385.341395766904</v>
      </c>
      <c r="L2" s="7">
        <f>IFERROR((Definitivo[[#This Row],[2024]]-Definitivo[[#This Row],[2000]])/Definitivo[[#This Row],[2000]],0)</f>
        <v>1.0002642034476754</v>
      </c>
      <c r="M2" s="7">
        <f>IFERROR((Definitivo[[#This Row],[2024]]-Definitivo[[#This Row],[2022]])/Definitivo[[#This Row],[2022]],0)</f>
        <v>0.13270460248905858</v>
      </c>
    </row>
    <row r="3" spans="1:25" ht="18.600000000000001" thickBot="1" x14ac:dyDescent="0.35">
      <c r="A3" s="17" t="s">
        <v>71</v>
      </c>
      <c r="B3" s="16" t="s">
        <v>10</v>
      </c>
      <c r="C3" s="16" t="s">
        <v>11</v>
      </c>
      <c r="D3" s="15" t="s">
        <v>14</v>
      </c>
      <c r="E3" s="15" t="s">
        <v>15</v>
      </c>
      <c r="F3" s="13">
        <v>7.5470123300000003</v>
      </c>
      <c r="G3" s="13">
        <v>7.7111582800000003</v>
      </c>
      <c r="H3" s="13">
        <v>7.8363890600000001</v>
      </c>
      <c r="I3" s="13">
        <v>8.8502292600000008</v>
      </c>
      <c r="J3" s="13">
        <v>8.4055948300000001</v>
      </c>
      <c r="K3" s="13">
        <v>8.4443731300000007</v>
      </c>
      <c r="L3" s="7">
        <f>IFERROR((Definitivo[[#This Row],[2024]]-Definitivo[[#This Row],[2000]])/Definitivo[[#This Row],[2000]],0)</f>
        <v>0.11890278705825308</v>
      </c>
      <c r="M3" s="7">
        <f>IFERROR((Definitivo[[#This Row],[2024]]-Definitivo[[#This Row],[2022]])/Definitivo[[#This Row],[2022]],0)</f>
        <v>-4.5858261755357066E-2</v>
      </c>
      <c r="O3" s="42" t="s">
        <v>394</v>
      </c>
      <c r="P3" s="43"/>
      <c r="Q3" s="43"/>
      <c r="R3" s="43"/>
      <c r="S3" s="44"/>
      <c r="U3" s="42" t="s">
        <v>394</v>
      </c>
      <c r="V3" s="43"/>
      <c r="W3" s="43"/>
      <c r="X3" s="43"/>
      <c r="Y3" s="44"/>
    </row>
    <row r="4" spans="1:25" ht="18" customHeight="1" x14ac:dyDescent="0.3">
      <c r="A4" s="17" t="s">
        <v>71</v>
      </c>
      <c r="B4" s="16" t="s">
        <v>10</v>
      </c>
      <c r="C4" s="16" t="s">
        <v>11</v>
      </c>
      <c r="D4" s="15" t="s">
        <v>16</v>
      </c>
      <c r="E4" s="15" t="s">
        <v>17</v>
      </c>
      <c r="F4" s="13">
        <v>79.778048780487822</v>
      </c>
      <c r="G4" s="13">
        <v>80.126829268292681</v>
      </c>
      <c r="H4" s="13">
        <v>80.229268292682946</v>
      </c>
      <c r="I4" s="13">
        <v>82.700000000000017</v>
      </c>
      <c r="J4" s="13">
        <v>83.351219512195129</v>
      </c>
      <c r="K4" s="13">
        <v>83.951219512195138</v>
      </c>
      <c r="L4" s="7">
        <f>IFERROR((Definitivo[[#This Row],[2024]]-Definitivo[[#This Row],[2000]])/Definitivo[[#This Row],[2000]],0)</f>
        <v>5.2309761839249111E-2</v>
      </c>
      <c r="M4" s="7">
        <f>IFERROR((Definitivo[[#This Row],[2024]]-Definitivo[[#This Row],[2022]])/Definitivo[[#This Row],[2022]],0)</f>
        <v>1.5129619252661675E-2</v>
      </c>
      <c r="O4" s="57" t="s">
        <v>396</v>
      </c>
      <c r="P4" s="58"/>
      <c r="Q4" s="58"/>
      <c r="R4" s="58"/>
      <c r="S4" s="59"/>
      <c r="U4" s="78" t="s">
        <v>406</v>
      </c>
      <c r="V4" s="79"/>
      <c r="W4" s="79"/>
      <c r="X4" s="79"/>
      <c r="Y4" s="80"/>
    </row>
    <row r="5" spans="1:25" ht="18" x14ac:dyDescent="0.3">
      <c r="A5" s="17" t="s">
        <v>71</v>
      </c>
      <c r="B5" s="16" t="s">
        <v>10</v>
      </c>
      <c r="C5" s="16" t="s">
        <v>11</v>
      </c>
      <c r="D5" s="15" t="s">
        <v>18</v>
      </c>
      <c r="E5" s="15" t="s">
        <v>19</v>
      </c>
      <c r="F5" s="13">
        <v>77.819100000000006</v>
      </c>
      <c r="G5" s="13">
        <v>81.584500000000006</v>
      </c>
      <c r="H5" s="13">
        <v>77.573300000000003</v>
      </c>
      <c r="I5" s="13">
        <v>60.8444</v>
      </c>
      <c r="J5" s="13">
        <v>56.678600000000003</v>
      </c>
      <c r="K5" s="13">
        <v>56.9054</v>
      </c>
      <c r="L5" s="7">
        <f>IFERROR((Definitivo[[#This Row],[2024]]-Definitivo[[#This Row],[2000]])/Definitivo[[#This Row],[2000]],0)</f>
        <v>-0.26874764678594337</v>
      </c>
      <c r="M5" s="7">
        <f>IFERROR((Definitivo[[#This Row],[2024]]-Definitivo[[#This Row],[2022]])/Definitivo[[#This Row],[2022]],0)</f>
        <v>-6.4738907771298593E-2</v>
      </c>
      <c r="O5" s="60"/>
      <c r="P5" s="61"/>
      <c r="Q5" s="61"/>
      <c r="R5" s="61"/>
      <c r="S5" s="62"/>
      <c r="U5" s="81"/>
      <c r="V5" s="82"/>
      <c r="W5" s="82"/>
      <c r="X5" s="82"/>
      <c r="Y5" s="83"/>
    </row>
    <row r="6" spans="1:25" ht="18" x14ac:dyDescent="0.3">
      <c r="A6" s="17" t="s">
        <v>71</v>
      </c>
      <c r="B6" s="16" t="s">
        <v>10</v>
      </c>
      <c r="C6" s="16" t="s">
        <v>11</v>
      </c>
      <c r="D6" s="15" t="s">
        <v>20</v>
      </c>
      <c r="E6" s="15" t="s">
        <v>21</v>
      </c>
      <c r="F6" s="13">
        <v>116.3621</v>
      </c>
      <c r="G6" s="13">
        <v>118.4897</v>
      </c>
      <c r="H6" s="13">
        <v>120.74850000000001</v>
      </c>
      <c r="I6" s="13">
        <v>103.8308</v>
      </c>
      <c r="J6" s="13">
        <v>104.78230000000001</v>
      </c>
      <c r="K6" s="13">
        <v>104.7041</v>
      </c>
      <c r="L6" s="7">
        <f>IFERROR((Definitivo[[#This Row],[2024]]-Definitivo[[#This Row],[2000]])/Definitivo[[#This Row],[2000]],0)</f>
        <v>-0.10018726028492096</v>
      </c>
      <c r="M6" s="7">
        <f>IFERROR((Definitivo[[#This Row],[2024]]-Definitivo[[#This Row],[2022]])/Definitivo[[#This Row],[2022]],0)</f>
        <v>8.4107991077791988E-3</v>
      </c>
      <c r="O6" s="60"/>
      <c r="P6" s="61"/>
      <c r="Q6" s="61"/>
      <c r="R6" s="61"/>
      <c r="S6" s="62"/>
      <c r="U6" s="81"/>
      <c r="V6" s="82"/>
      <c r="W6" s="82"/>
      <c r="X6" s="82"/>
      <c r="Y6" s="83"/>
    </row>
    <row r="7" spans="1:25" ht="18" x14ac:dyDescent="0.3">
      <c r="A7" s="17" t="s">
        <v>71</v>
      </c>
      <c r="B7" s="16" t="s">
        <v>10</v>
      </c>
      <c r="C7" s="16" t="s">
        <v>11</v>
      </c>
      <c r="D7" s="15" t="s">
        <v>22</v>
      </c>
      <c r="E7" s="15" t="s">
        <v>23</v>
      </c>
      <c r="F7" s="13">
        <v>27.5929</v>
      </c>
      <c r="G7" s="13">
        <v>29.1799</v>
      </c>
      <c r="H7" s="13">
        <v>29.5181</v>
      </c>
      <c r="I7" s="13">
        <v>19.316199999999998</v>
      </c>
      <c r="J7" s="13">
        <v>19.192</v>
      </c>
      <c r="K7" s="13">
        <v>19.254200000000001</v>
      </c>
      <c r="L7" s="7">
        <f>IFERROR((Definitivo[[#This Row],[2024]]-Definitivo[[#This Row],[2000]])/Definitivo[[#This Row],[2000]],0)</f>
        <v>-0.30220455262042045</v>
      </c>
      <c r="M7" s="7">
        <f>IFERROR((Definitivo[[#This Row],[2024]]-Definitivo[[#This Row],[2022]])/Definitivo[[#This Row],[2022]],0)</f>
        <v>-3.2097410463754576E-3</v>
      </c>
      <c r="O7" s="60"/>
      <c r="P7" s="61"/>
      <c r="Q7" s="61"/>
      <c r="R7" s="61"/>
      <c r="S7" s="62"/>
      <c r="U7" s="81"/>
      <c r="V7" s="82"/>
      <c r="W7" s="82"/>
      <c r="X7" s="82"/>
      <c r="Y7" s="83"/>
    </row>
    <row r="8" spans="1:25" ht="18" x14ac:dyDescent="0.3">
      <c r="A8" s="17" t="s">
        <v>71</v>
      </c>
      <c r="B8" s="16" t="s">
        <v>10</v>
      </c>
      <c r="C8" s="16" t="s">
        <v>11</v>
      </c>
      <c r="D8" s="15" t="s">
        <v>24</v>
      </c>
      <c r="E8" s="15" t="s">
        <v>25</v>
      </c>
      <c r="F8" s="13">
        <v>1.2141999999999999</v>
      </c>
      <c r="G8" s="13">
        <v>1.2194</v>
      </c>
      <c r="H8" s="13">
        <v>1.1854</v>
      </c>
      <c r="I8" s="13">
        <v>0.61919999999999997</v>
      </c>
      <c r="J8" s="13">
        <v>0.57289999999999996</v>
      </c>
      <c r="K8" s="13">
        <v>0.53590000000000004</v>
      </c>
      <c r="L8" s="7">
        <f>IFERROR((Definitivo[[#This Row],[2024]]-Definitivo[[#This Row],[2000]])/Definitivo[[#This Row],[2000]],0)</f>
        <v>-0.55863943337176736</v>
      </c>
      <c r="M8" s="7">
        <f>IFERROR((Definitivo[[#This Row],[2024]]-Definitivo[[#This Row],[2022]])/Definitivo[[#This Row],[2022]],0)</f>
        <v>-0.13452842377260971</v>
      </c>
      <c r="O8" s="60"/>
      <c r="P8" s="61"/>
      <c r="Q8" s="61"/>
      <c r="R8" s="61"/>
      <c r="S8" s="62"/>
      <c r="U8" s="81"/>
      <c r="V8" s="82"/>
      <c r="W8" s="82"/>
      <c r="X8" s="82"/>
      <c r="Y8" s="83"/>
    </row>
    <row r="9" spans="1:25" ht="18.600000000000001" thickBot="1" x14ac:dyDescent="0.35">
      <c r="A9" s="17" t="s">
        <v>71</v>
      </c>
      <c r="B9" s="16" t="s">
        <v>10</v>
      </c>
      <c r="C9" s="16" t="s">
        <v>11</v>
      </c>
      <c r="D9" s="15" t="s">
        <v>26</v>
      </c>
      <c r="E9" s="15" t="s">
        <v>27</v>
      </c>
      <c r="F9" s="13">
        <v>3.4599999999999999E-2</v>
      </c>
      <c r="G9" s="13">
        <v>3.7999999999999999E-2</v>
      </c>
      <c r="H9" s="13">
        <v>2.9499999999999998E-2</v>
      </c>
      <c r="I9" s="13">
        <v>1.84E-2</v>
      </c>
      <c r="J9" s="13">
        <v>1.9099999999999999E-2</v>
      </c>
      <c r="K9" s="13">
        <v>1.9800000000000002E-2</v>
      </c>
      <c r="L9" s="7">
        <f>IFERROR((Definitivo[[#This Row],[2024]]-Definitivo[[#This Row],[2000]])/Definitivo[[#This Row],[2000]],0)</f>
        <v>-0.42774566473988435</v>
      </c>
      <c r="M9" s="7">
        <f>IFERROR((Definitivo[[#This Row],[2024]]-Definitivo[[#This Row],[2022]])/Definitivo[[#This Row],[2022]],0)</f>
        <v>7.6086956521739232E-2</v>
      </c>
      <c r="O9" s="60"/>
      <c r="P9" s="61"/>
      <c r="Q9" s="61"/>
      <c r="R9" s="61"/>
      <c r="S9" s="62"/>
      <c r="U9" s="84"/>
      <c r="V9" s="85"/>
      <c r="W9" s="85"/>
      <c r="X9" s="85"/>
      <c r="Y9" s="86"/>
    </row>
    <row r="10" spans="1:25" ht="18.600000000000001" thickBot="1" x14ac:dyDescent="0.35">
      <c r="A10" s="17" t="s">
        <v>71</v>
      </c>
      <c r="B10" s="16" t="s">
        <v>10</v>
      </c>
      <c r="C10" s="16" t="s">
        <v>11</v>
      </c>
      <c r="D10" s="15" t="s">
        <v>28</v>
      </c>
      <c r="E10" s="15" t="s">
        <v>29</v>
      </c>
      <c r="F10" s="13">
        <v>454.31909999999999</v>
      </c>
      <c r="G10" s="13">
        <v>453.68040000000002</v>
      </c>
      <c r="H10" s="13">
        <v>460.95699999999999</v>
      </c>
      <c r="I10" s="13">
        <v>331.00599999999997</v>
      </c>
      <c r="J10" s="13">
        <v>304.30810000000002</v>
      </c>
      <c r="K10" s="13">
        <v>299.2285</v>
      </c>
      <c r="L10" s="7">
        <f>IFERROR((Definitivo[[#This Row],[2024]]-Definitivo[[#This Row],[2000]])/Definitivo[[#This Row],[2000]],0)</f>
        <v>-0.34136931509152929</v>
      </c>
      <c r="M10" s="7">
        <f>IFERROR((Definitivo[[#This Row],[2024]]-Definitivo[[#This Row],[2022]])/Definitivo[[#This Row],[2022]],0)</f>
        <v>-9.6002791490184397E-2</v>
      </c>
      <c r="O10" s="60"/>
      <c r="P10" s="61"/>
      <c r="Q10" s="61"/>
      <c r="R10" s="61"/>
      <c r="S10" s="62"/>
    </row>
    <row r="11" spans="1:25" ht="18.600000000000001" thickBot="1" x14ac:dyDescent="0.35">
      <c r="A11" s="17" t="s">
        <v>71</v>
      </c>
      <c r="B11" s="16" t="s">
        <v>10</v>
      </c>
      <c r="C11" s="16" t="s">
        <v>11</v>
      </c>
      <c r="D11" s="15" t="s">
        <v>30</v>
      </c>
      <c r="E11" s="15" t="s">
        <v>31</v>
      </c>
      <c r="F11" s="13">
        <v>208000000</v>
      </c>
      <c r="G11" s="13">
        <v>269000000</v>
      </c>
      <c r="H11" s="13">
        <v>477000000</v>
      </c>
      <c r="I11" s="13">
        <v>1711000000</v>
      </c>
      <c r="J11" s="13">
        <v>1364000000</v>
      </c>
      <c r="K11" s="13">
        <v>1379000000</v>
      </c>
      <c r="L11" s="7">
        <f>IFERROR((Definitivo[[#This Row],[2024]]-Definitivo[[#This Row],[2000]])/Definitivo[[#This Row],[2000]],0)</f>
        <v>5.6298076923076925</v>
      </c>
      <c r="M11" s="7">
        <f>IFERROR((Definitivo[[#This Row],[2024]]-Definitivo[[#This Row],[2022]])/Definitivo[[#This Row],[2022]],0)</f>
        <v>-0.19403857393337229</v>
      </c>
      <c r="O11" s="60"/>
      <c r="P11" s="61"/>
      <c r="Q11" s="61"/>
      <c r="R11" s="61"/>
      <c r="S11" s="62"/>
      <c r="U11" s="45" t="s">
        <v>402</v>
      </c>
      <c r="V11" s="46"/>
      <c r="W11" s="46"/>
      <c r="X11" s="46"/>
      <c r="Y11" s="47"/>
    </row>
    <row r="12" spans="1:25" ht="18" x14ac:dyDescent="0.3">
      <c r="A12" s="17" t="s">
        <v>71</v>
      </c>
      <c r="B12" s="16" t="s">
        <v>10</v>
      </c>
      <c r="C12" s="16" t="s">
        <v>11</v>
      </c>
      <c r="D12" s="15" t="s">
        <v>32</v>
      </c>
      <c r="E12" s="15" t="s">
        <v>33</v>
      </c>
      <c r="F12" s="13">
        <v>278000000</v>
      </c>
      <c r="G12" s="13">
        <v>241000000</v>
      </c>
      <c r="H12" s="13">
        <v>245000000</v>
      </c>
      <c r="I12" s="13">
        <v>237000000</v>
      </c>
      <c r="J12" s="13">
        <v>485000000</v>
      </c>
      <c r="K12" s="13">
        <v>432000000</v>
      </c>
      <c r="L12" s="7">
        <f>IFERROR((Definitivo[[#This Row],[2024]]-Definitivo[[#This Row],[2000]])/Definitivo[[#This Row],[2000]],0)</f>
        <v>0.5539568345323741</v>
      </c>
      <c r="M12" s="7">
        <f>IFERROR((Definitivo[[#This Row],[2024]]-Definitivo[[#This Row],[2022]])/Definitivo[[#This Row],[2022]],0)</f>
        <v>0.82278481012658233</v>
      </c>
      <c r="O12" s="60"/>
      <c r="P12" s="61"/>
      <c r="Q12" s="61"/>
      <c r="R12" s="61"/>
      <c r="S12" s="62"/>
      <c r="U12" s="48" t="s">
        <v>407</v>
      </c>
      <c r="V12" s="49"/>
      <c r="W12" s="49"/>
      <c r="X12" s="49"/>
      <c r="Y12" s="50"/>
    </row>
    <row r="13" spans="1:25" ht="18" x14ac:dyDescent="0.3">
      <c r="A13" s="17" t="s">
        <v>71</v>
      </c>
      <c r="B13" s="16" t="s">
        <v>10</v>
      </c>
      <c r="C13" s="16" t="s">
        <v>11</v>
      </c>
      <c r="D13" s="15" t="s">
        <v>34</v>
      </c>
      <c r="E13" s="15" t="s">
        <v>35</v>
      </c>
      <c r="F13" s="13">
        <v>21576363700</v>
      </c>
      <c r="G13" s="13">
        <v>21813104000</v>
      </c>
      <c r="H13" s="13">
        <v>22961769000</v>
      </c>
      <c r="I13" s="13">
        <v>32984208000</v>
      </c>
      <c r="J13" s="13">
        <v>34185500000</v>
      </c>
      <c r="K13" s="13">
        <v>35096810000</v>
      </c>
      <c r="L13" s="7">
        <f>IFERROR((Definitivo[[#This Row],[2024]]-Definitivo[[#This Row],[2000]])/Definitivo[[#This Row],[2000]],0)</f>
        <v>0.62663229485698746</v>
      </c>
      <c r="M13" s="7">
        <f>IFERROR((Definitivo[[#This Row],[2024]]-Definitivo[[#This Row],[2022]])/Definitivo[[#This Row],[2022]],0)</f>
        <v>6.4048892730727378E-2</v>
      </c>
      <c r="O13" s="60"/>
      <c r="P13" s="61"/>
      <c r="Q13" s="61"/>
      <c r="R13" s="61"/>
      <c r="S13" s="62"/>
      <c r="U13" s="51"/>
      <c r="V13" s="52"/>
      <c r="W13" s="52"/>
      <c r="X13" s="52"/>
      <c r="Y13" s="53"/>
    </row>
    <row r="14" spans="1:25" ht="18.600000000000001" thickBot="1" x14ac:dyDescent="0.35">
      <c r="A14" s="17" t="s">
        <v>71</v>
      </c>
      <c r="B14" s="16" t="s">
        <v>10</v>
      </c>
      <c r="C14" s="16" t="s">
        <v>11</v>
      </c>
      <c r="D14" s="15" t="s">
        <v>36</v>
      </c>
      <c r="E14" s="15" t="s">
        <v>37</v>
      </c>
      <c r="F14" s="13">
        <v>21.837299999999999</v>
      </c>
      <c r="G14" s="13">
        <v>23.198799999999999</v>
      </c>
      <c r="H14" s="13">
        <v>22.401299999999999</v>
      </c>
      <c r="I14" s="13">
        <v>18.230499999999999</v>
      </c>
      <c r="J14" s="13">
        <v>16.8355</v>
      </c>
      <c r="K14" s="13">
        <v>15.5703</v>
      </c>
      <c r="L14" s="7">
        <f>IFERROR((Definitivo[[#This Row],[2024]]-Definitivo[[#This Row],[2000]])/Definitivo[[#This Row],[2000]],0)</f>
        <v>-0.28698602849253341</v>
      </c>
      <c r="M14" s="7">
        <f>IFERROR((Definitivo[[#This Row],[2024]]-Definitivo[[#This Row],[2022]])/Definitivo[[#This Row],[2022]],0)</f>
        <v>-0.14592029840103124</v>
      </c>
      <c r="O14" s="63"/>
      <c r="P14" s="64"/>
      <c r="Q14" s="64"/>
      <c r="R14" s="64"/>
      <c r="S14" s="65"/>
      <c r="U14" s="51"/>
      <c r="V14" s="52"/>
      <c r="W14" s="52"/>
      <c r="X14" s="52"/>
      <c r="Y14" s="53"/>
    </row>
    <row r="15" spans="1:25" ht="18.600000000000001" thickBot="1" x14ac:dyDescent="0.35">
      <c r="A15" s="17" t="s">
        <v>71</v>
      </c>
      <c r="B15" s="16" t="s">
        <v>10</v>
      </c>
      <c r="C15" s="16" t="s">
        <v>11</v>
      </c>
      <c r="D15" s="15" t="s">
        <v>38</v>
      </c>
      <c r="E15" s="15" t="s">
        <v>39</v>
      </c>
      <c r="F15" s="13">
        <v>1.1937</v>
      </c>
      <c r="G15" s="13">
        <v>1.2297</v>
      </c>
      <c r="H15" s="13">
        <v>1.2535000000000001</v>
      </c>
      <c r="I15" s="13">
        <v>1.3737999999999999</v>
      </c>
      <c r="J15" s="13">
        <v>1.3742000000000001</v>
      </c>
      <c r="K15" s="13">
        <v>1.3749</v>
      </c>
      <c r="L15" s="7">
        <f>IFERROR((Definitivo[[#This Row],[2024]]-Definitivo[[#This Row],[2000]])/Definitivo[[#This Row],[2000]],0)</f>
        <v>0.15179693390299073</v>
      </c>
      <c r="M15" s="7">
        <f>IFERROR((Definitivo[[#This Row],[2024]]-Definitivo[[#This Row],[2022]])/Definitivo[[#This Row],[2022]],0)</f>
        <v>8.0069879167280606E-4</v>
      </c>
      <c r="O15" s="5"/>
      <c r="P15" s="5"/>
      <c r="Q15" s="5"/>
      <c r="R15" s="5"/>
      <c r="S15" s="5"/>
      <c r="U15" s="51"/>
      <c r="V15" s="52"/>
      <c r="W15" s="52"/>
      <c r="X15" s="52"/>
      <c r="Y15" s="53"/>
    </row>
    <row r="16" spans="1:25" ht="18.600000000000001" thickBot="1" x14ac:dyDescent="0.35">
      <c r="A16" s="17" t="s">
        <v>66</v>
      </c>
      <c r="B16" s="16" t="s">
        <v>40</v>
      </c>
      <c r="C16" s="16" t="s">
        <v>41</v>
      </c>
      <c r="D16" s="15" t="s">
        <v>12</v>
      </c>
      <c r="E16" s="15" t="s">
        <v>13</v>
      </c>
      <c r="F16" s="13">
        <v>969.19951369628666</v>
      </c>
      <c r="G16" s="13">
        <v>1065.4059757451932</v>
      </c>
      <c r="H16" s="13">
        <v>1163.5595767342556</v>
      </c>
      <c r="I16" s="13">
        <v>12970.605641432652</v>
      </c>
      <c r="J16" s="13">
        <v>12951.178239704273</v>
      </c>
      <c r="K16" s="13">
        <v>13303.148154386816</v>
      </c>
      <c r="L16" s="7">
        <f>IFERROR((Definitivo[[#This Row],[2024]]-Definitivo[[#This Row],[2000]])/Definitivo[[#This Row],[2000]],0)</f>
        <v>12.725912948152343</v>
      </c>
      <c r="M16" s="7">
        <f>IFERROR((Definitivo[[#This Row],[2024]]-Definitivo[[#This Row],[2022]])/Definitivo[[#This Row],[2022]],0)</f>
        <v>2.5638163872001973E-2</v>
      </c>
      <c r="O16" s="42" t="s">
        <v>402</v>
      </c>
      <c r="P16" s="43"/>
      <c r="Q16" s="43"/>
      <c r="R16" s="43"/>
      <c r="S16" s="44"/>
      <c r="U16" s="54"/>
      <c r="V16" s="55"/>
      <c r="W16" s="55"/>
      <c r="X16" s="55"/>
      <c r="Y16" s="56"/>
    </row>
    <row r="17" spans="1:25" ht="18.600000000000001" thickBot="1" x14ac:dyDescent="0.35">
      <c r="A17" s="17" t="s">
        <v>66</v>
      </c>
      <c r="B17" s="16" t="s">
        <v>40</v>
      </c>
      <c r="C17" s="16" t="s">
        <v>41</v>
      </c>
      <c r="D17" s="15" t="s">
        <v>16</v>
      </c>
      <c r="E17" s="15" t="s">
        <v>17</v>
      </c>
      <c r="F17" s="13">
        <v>72.287999999999997</v>
      </c>
      <c r="G17" s="13">
        <v>72.674999999999997</v>
      </c>
      <c r="H17" s="13">
        <v>73.034000000000006</v>
      </c>
      <c r="I17" s="13">
        <v>78.201999999999998</v>
      </c>
      <c r="J17" s="13">
        <v>77.953000000000003</v>
      </c>
      <c r="K17" s="13">
        <v>78.016999999999996</v>
      </c>
      <c r="L17" s="7">
        <f>IFERROR((Definitivo[[#This Row],[2024]]-Definitivo[[#This Row],[2000]])/Definitivo[[#This Row],[2000]],0)</f>
        <v>7.9252434705621946E-2</v>
      </c>
      <c r="M17" s="7">
        <f>IFERROR((Definitivo[[#This Row],[2024]]-Definitivo[[#This Row],[2022]])/Definitivo[[#This Row],[2022]],0)</f>
        <v>-2.3656683972277217E-3</v>
      </c>
      <c r="O17" s="66" t="s">
        <v>403</v>
      </c>
      <c r="P17" s="67"/>
      <c r="Q17" s="67"/>
      <c r="R17" s="67"/>
      <c r="S17" s="68"/>
    </row>
    <row r="18" spans="1:25" ht="18.600000000000001" thickBot="1" x14ac:dyDescent="0.35">
      <c r="A18" s="17" t="s">
        <v>66</v>
      </c>
      <c r="B18" s="16" t="s">
        <v>40</v>
      </c>
      <c r="C18" s="16" t="s">
        <v>41</v>
      </c>
      <c r="D18" s="15" t="s">
        <v>18</v>
      </c>
      <c r="E18" s="15" t="s">
        <v>19</v>
      </c>
      <c r="F18" s="13">
        <v>371.34730000000002</v>
      </c>
      <c r="G18" s="13">
        <v>381.02080000000001</v>
      </c>
      <c r="H18" s="13">
        <v>397.15620000000001</v>
      </c>
      <c r="I18" s="13">
        <v>575.49590000000001</v>
      </c>
      <c r="J18" s="13">
        <v>574.54939999999999</v>
      </c>
      <c r="K18" s="13">
        <v>586.64400000000001</v>
      </c>
      <c r="L18" s="7">
        <f>IFERROR((Definitivo[[#This Row],[2024]]-Definitivo[[#This Row],[2000]])/Definitivo[[#This Row],[2000]],0)</f>
        <v>0.57977182007247652</v>
      </c>
      <c r="M18" s="7">
        <f>IFERROR((Definitivo[[#This Row],[2024]]-Definitivo[[#This Row],[2022]])/Definitivo[[#This Row],[2022]],0)</f>
        <v>1.9371293522681916E-2</v>
      </c>
      <c r="O18" s="69"/>
      <c r="P18" s="70"/>
      <c r="Q18" s="70"/>
      <c r="R18" s="70"/>
      <c r="S18" s="71"/>
      <c r="U18" s="42" t="s">
        <v>395</v>
      </c>
      <c r="V18" s="43"/>
      <c r="W18" s="43"/>
      <c r="X18" s="43"/>
      <c r="Y18" s="44"/>
    </row>
    <row r="19" spans="1:25" ht="18" x14ac:dyDescent="0.3">
      <c r="A19" s="17" t="s">
        <v>66</v>
      </c>
      <c r="B19" s="16" t="s">
        <v>40</v>
      </c>
      <c r="C19" s="16" t="s">
        <v>41</v>
      </c>
      <c r="D19" s="15" t="s">
        <v>20</v>
      </c>
      <c r="E19" s="15" t="s">
        <v>21</v>
      </c>
      <c r="F19" s="13">
        <v>248.4803</v>
      </c>
      <c r="G19" s="13">
        <v>254.25030000000001</v>
      </c>
      <c r="H19" s="13">
        <v>276.4443</v>
      </c>
      <c r="I19" s="13">
        <v>885.43399999999997</v>
      </c>
      <c r="J19" s="13">
        <v>939.82780000000002</v>
      </c>
      <c r="K19" s="13">
        <v>928.69749999999999</v>
      </c>
      <c r="L19" s="7">
        <f>IFERROR((Definitivo[[#This Row],[2024]]-Definitivo[[#This Row],[2000]])/Definitivo[[#This Row],[2000]],0)</f>
        <v>2.7375095731935288</v>
      </c>
      <c r="M19" s="7">
        <f>IFERROR((Definitivo[[#This Row],[2024]]-Definitivo[[#This Row],[2022]])/Definitivo[[#This Row],[2022]],0)</f>
        <v>4.8861349349584526E-2</v>
      </c>
      <c r="O19" s="69"/>
      <c r="P19" s="70"/>
      <c r="Q19" s="70"/>
      <c r="R19" s="70"/>
      <c r="S19" s="71"/>
      <c r="U19" s="87" t="s">
        <v>408</v>
      </c>
      <c r="V19" s="88"/>
      <c r="W19" s="88"/>
      <c r="X19" s="88"/>
      <c r="Y19" s="89"/>
    </row>
    <row r="20" spans="1:25" ht="18" x14ac:dyDescent="0.3">
      <c r="A20" s="17" t="s">
        <v>66</v>
      </c>
      <c r="B20" s="16" t="s">
        <v>40</v>
      </c>
      <c r="C20" s="16" t="s">
        <v>41</v>
      </c>
      <c r="D20" s="15" t="s">
        <v>22</v>
      </c>
      <c r="E20" s="15" t="s">
        <v>23</v>
      </c>
      <c r="F20" s="13">
        <v>453.4665</v>
      </c>
      <c r="G20" s="13">
        <v>484.59030000000001</v>
      </c>
      <c r="H20" s="13">
        <v>528.61789999999996</v>
      </c>
      <c r="I20" s="13">
        <v>1477.6858999999999</v>
      </c>
      <c r="J20" s="13">
        <v>1456.0920000000001</v>
      </c>
      <c r="K20" s="13">
        <v>1396.1706999999999</v>
      </c>
      <c r="L20" s="7">
        <f>IFERROR((Definitivo[[#This Row],[2024]]-Definitivo[[#This Row],[2000]])/Definitivo[[#This Row],[2000]],0)</f>
        <v>2.0788838866818162</v>
      </c>
      <c r="M20" s="7">
        <f>IFERROR((Definitivo[[#This Row],[2024]]-Definitivo[[#This Row],[2022]])/Definitivo[[#This Row],[2022]],0)</f>
        <v>-5.5164091367455051E-2</v>
      </c>
      <c r="O20" s="69"/>
      <c r="P20" s="70"/>
      <c r="Q20" s="70"/>
      <c r="R20" s="70"/>
      <c r="S20" s="71"/>
      <c r="U20" s="90"/>
      <c r="V20" s="91"/>
      <c r="W20" s="91"/>
      <c r="X20" s="91"/>
      <c r="Y20" s="92"/>
    </row>
    <row r="21" spans="1:25" ht="18" x14ac:dyDescent="0.3">
      <c r="A21" s="17" t="s">
        <v>66</v>
      </c>
      <c r="B21" s="16" t="s">
        <v>40</v>
      </c>
      <c r="C21" s="16" t="s">
        <v>41</v>
      </c>
      <c r="D21" s="15" t="s">
        <v>24</v>
      </c>
      <c r="E21" s="15" t="s">
        <v>25</v>
      </c>
      <c r="F21" s="13">
        <v>24.127700000000001</v>
      </c>
      <c r="G21" s="13">
        <v>24.6966</v>
      </c>
      <c r="H21" s="13">
        <v>31.126899999999999</v>
      </c>
      <c r="I21" s="13">
        <v>16.3139</v>
      </c>
      <c r="J21" s="13">
        <v>16.6374</v>
      </c>
      <c r="K21" s="13">
        <v>16.969100000000001</v>
      </c>
      <c r="L21" s="7">
        <f>IFERROR((Definitivo[[#This Row],[2024]]-Definitivo[[#This Row],[2000]])/Definitivo[[#This Row],[2000]],0)</f>
        <v>-0.29669632828657516</v>
      </c>
      <c r="M21" s="7">
        <f>IFERROR((Definitivo[[#This Row],[2024]]-Definitivo[[#This Row],[2022]])/Definitivo[[#This Row],[2022]],0)</f>
        <v>4.0162070381699083E-2</v>
      </c>
      <c r="O21" s="69"/>
      <c r="P21" s="70"/>
      <c r="Q21" s="70"/>
      <c r="R21" s="70"/>
      <c r="S21" s="71"/>
      <c r="U21" s="90"/>
      <c r="V21" s="91"/>
      <c r="W21" s="91"/>
      <c r="X21" s="91"/>
      <c r="Y21" s="92"/>
    </row>
    <row r="22" spans="1:25" ht="18" x14ac:dyDescent="0.3">
      <c r="A22" s="17" t="s">
        <v>66</v>
      </c>
      <c r="B22" s="16" t="s">
        <v>40</v>
      </c>
      <c r="C22" s="16" t="s">
        <v>41</v>
      </c>
      <c r="D22" s="15" t="s">
        <v>26</v>
      </c>
      <c r="E22" s="15" t="s">
        <v>27</v>
      </c>
      <c r="F22" s="13">
        <v>0.49930000000000002</v>
      </c>
      <c r="G22" s="13">
        <v>0.52090000000000003</v>
      </c>
      <c r="H22" s="13">
        <v>0.54269999999999996</v>
      </c>
      <c r="I22" s="13">
        <v>3.5489000000000002</v>
      </c>
      <c r="J22" s="13">
        <v>3.6225000000000001</v>
      </c>
      <c r="K22" s="13">
        <v>3.6976</v>
      </c>
      <c r="L22" s="7">
        <f>IFERROR((Definitivo[[#This Row],[2024]]-Definitivo[[#This Row],[2000]])/Definitivo[[#This Row],[2000]],0)</f>
        <v>6.4055677949128782</v>
      </c>
      <c r="M22" s="7">
        <f>IFERROR((Definitivo[[#This Row],[2024]]-Definitivo[[#This Row],[2022]])/Definitivo[[#This Row],[2022]],0)</f>
        <v>4.1900307137422814E-2</v>
      </c>
      <c r="O22" s="69"/>
      <c r="P22" s="70"/>
      <c r="Q22" s="70"/>
      <c r="R22" s="70"/>
      <c r="S22" s="71"/>
      <c r="U22" s="90"/>
      <c r="V22" s="91"/>
      <c r="W22" s="91"/>
      <c r="X22" s="91"/>
      <c r="Y22" s="92"/>
    </row>
    <row r="23" spans="1:25" ht="18.600000000000001" thickBot="1" x14ac:dyDescent="0.35">
      <c r="A23" s="17" t="s">
        <v>66</v>
      </c>
      <c r="B23" s="16" t="s">
        <v>40</v>
      </c>
      <c r="C23" s="16" t="s">
        <v>41</v>
      </c>
      <c r="D23" s="15" t="s">
        <v>28</v>
      </c>
      <c r="E23" s="15" t="s">
        <v>29</v>
      </c>
      <c r="F23" s="13">
        <v>3647.8773000000001</v>
      </c>
      <c r="G23" s="13">
        <v>3825.0578999999998</v>
      </c>
      <c r="H23" s="13">
        <v>4133.0730000000003</v>
      </c>
      <c r="I23" s="13">
        <v>12518.6844</v>
      </c>
      <c r="J23" s="13">
        <v>13021.242</v>
      </c>
      <c r="K23" s="13">
        <v>13124.727999999999</v>
      </c>
      <c r="L23" s="7">
        <f>IFERROR((Definitivo[[#This Row],[2024]]-Definitivo[[#This Row],[2000]])/Definitivo[[#This Row],[2000]],0)</f>
        <v>2.5979082958738768</v>
      </c>
      <c r="M23" s="7">
        <f>IFERROR((Definitivo[[#This Row],[2024]]-Definitivo[[#This Row],[2022]])/Definitivo[[#This Row],[2022]],0)</f>
        <v>4.8411125373525599E-2</v>
      </c>
      <c r="O23" s="72"/>
      <c r="P23" s="73"/>
      <c r="Q23" s="73"/>
      <c r="R23" s="73"/>
      <c r="S23" s="74"/>
      <c r="U23" s="90"/>
      <c r="V23" s="91"/>
      <c r="W23" s="91"/>
      <c r="X23" s="91"/>
      <c r="Y23" s="92"/>
    </row>
    <row r="24" spans="1:25" ht="18.600000000000001" thickBot="1" x14ac:dyDescent="0.35">
      <c r="A24" s="17" t="s">
        <v>66</v>
      </c>
      <c r="B24" s="16" t="s">
        <v>40</v>
      </c>
      <c r="C24" s="16" t="s">
        <v>41</v>
      </c>
      <c r="D24" s="15" t="s">
        <v>30</v>
      </c>
      <c r="E24" s="15" t="s">
        <v>31</v>
      </c>
      <c r="F24" s="13">
        <v>306000000</v>
      </c>
      <c r="G24" s="13">
        <v>510000000</v>
      </c>
      <c r="H24" s="13">
        <v>524000000</v>
      </c>
      <c r="I24" s="13">
        <v>2280000000</v>
      </c>
      <c r="J24" s="13">
        <v>2982000000</v>
      </c>
      <c r="K24" s="13">
        <v>1131000000</v>
      </c>
      <c r="L24" s="7">
        <f>IFERROR((Definitivo[[#This Row],[2024]]-Definitivo[[#This Row],[2000]])/Definitivo[[#This Row],[2000]],0)</f>
        <v>2.6960784313725492</v>
      </c>
      <c r="M24" s="7">
        <f>IFERROR((Definitivo[[#This Row],[2024]]-Definitivo[[#This Row],[2022]])/Definitivo[[#This Row],[2022]],0)</f>
        <v>-0.50394736842105259</v>
      </c>
      <c r="U24" s="93"/>
      <c r="V24" s="94"/>
      <c r="W24" s="94"/>
      <c r="X24" s="94"/>
      <c r="Y24" s="95"/>
    </row>
    <row r="25" spans="1:25" ht="18.600000000000001" thickBot="1" x14ac:dyDescent="0.35">
      <c r="A25" s="17" t="s">
        <v>66</v>
      </c>
      <c r="B25" s="16" t="s">
        <v>40</v>
      </c>
      <c r="C25" s="16" t="s">
        <v>41</v>
      </c>
      <c r="D25" s="15" t="s">
        <v>32</v>
      </c>
      <c r="E25" s="15" t="s">
        <v>33</v>
      </c>
      <c r="F25" s="13">
        <v>2472000000</v>
      </c>
      <c r="G25" s="13">
        <v>2754000000</v>
      </c>
      <c r="H25" s="13">
        <v>2819000000</v>
      </c>
      <c r="I25" s="13">
        <v>646000000</v>
      </c>
      <c r="J25" s="13">
        <v>431000000</v>
      </c>
      <c r="K25" s="13">
        <v>72000000</v>
      </c>
      <c r="L25" s="7">
        <f>IFERROR((Definitivo[[#This Row],[2024]]-Definitivo[[#This Row],[2000]])/Definitivo[[#This Row],[2000]],0)</f>
        <v>-0.970873786407767</v>
      </c>
      <c r="M25" s="7">
        <f>IFERROR((Definitivo[[#This Row],[2024]]-Definitivo[[#This Row],[2022]])/Definitivo[[#This Row],[2022]],0)</f>
        <v>-0.88854489164086692</v>
      </c>
      <c r="O25" s="45" t="s">
        <v>395</v>
      </c>
      <c r="P25" s="46"/>
      <c r="Q25" s="46"/>
      <c r="R25" s="46"/>
      <c r="S25" s="47"/>
    </row>
    <row r="26" spans="1:25" ht="18.600000000000001" thickBot="1" x14ac:dyDescent="0.35">
      <c r="A26" s="17" t="s">
        <v>66</v>
      </c>
      <c r="B26" s="16" t="s">
        <v>40</v>
      </c>
      <c r="C26" s="16" t="s">
        <v>41</v>
      </c>
      <c r="D26" s="15" t="s">
        <v>34</v>
      </c>
      <c r="E26" s="15" t="s">
        <v>35</v>
      </c>
      <c r="F26" s="13">
        <v>184090164741.82901</v>
      </c>
      <c r="G26" s="13">
        <v>219851088539.276</v>
      </c>
      <c r="H26" s="13">
        <v>250660511207.45001</v>
      </c>
      <c r="I26" s="13">
        <v>1964343311987.28</v>
      </c>
      <c r="J26" s="13">
        <v>2098678518474.49</v>
      </c>
      <c r="K26" s="13">
        <v>2254801911598.8198</v>
      </c>
      <c r="L26" s="7">
        <f>IFERROR((Definitivo[[#This Row],[2024]]-Definitivo[[#This Row],[2000]])/Definitivo[[#This Row],[2000]],0)</f>
        <v>11.248356205020459</v>
      </c>
      <c r="M26" s="7">
        <f>IFERROR((Definitivo[[#This Row],[2024]]-Definitivo[[#This Row],[2022]])/Definitivo[[#This Row],[2022]],0)</f>
        <v>0.14786549674847299</v>
      </c>
      <c r="O26" s="105" t="s">
        <v>397</v>
      </c>
      <c r="P26" s="106"/>
      <c r="Q26" s="106"/>
      <c r="R26" s="106"/>
      <c r="S26" s="107"/>
      <c r="U26" s="42" t="s">
        <v>398</v>
      </c>
      <c r="V26" s="43"/>
      <c r="W26" s="43"/>
      <c r="X26" s="43"/>
      <c r="Y26" s="44"/>
    </row>
    <row r="27" spans="1:25" ht="18" x14ac:dyDescent="0.3">
      <c r="A27" s="17" t="s">
        <v>66</v>
      </c>
      <c r="B27" s="16" t="s">
        <v>40</v>
      </c>
      <c r="C27" s="16" t="s">
        <v>41</v>
      </c>
      <c r="D27" s="15" t="s">
        <v>36</v>
      </c>
      <c r="E27" s="15" t="s">
        <v>37</v>
      </c>
      <c r="F27" s="13">
        <v>138.7081</v>
      </c>
      <c r="G27" s="13">
        <v>140.8588</v>
      </c>
      <c r="H27" s="13">
        <v>143.01339999999999</v>
      </c>
      <c r="I27" s="13">
        <v>235.98699999999999</v>
      </c>
      <c r="J27" s="13">
        <v>207.26390000000001</v>
      </c>
      <c r="K27" s="13">
        <v>195.6686</v>
      </c>
      <c r="L27" s="7">
        <f>IFERROR((Definitivo[[#This Row],[2024]]-Definitivo[[#This Row],[2000]])/Definitivo[[#This Row],[2000]],0)</f>
        <v>0.41065013506781506</v>
      </c>
      <c r="M27" s="7">
        <f>IFERROR((Definitivo[[#This Row],[2024]]-Definitivo[[#This Row],[2022]])/Definitivo[[#This Row],[2022]],0)</f>
        <v>-0.1708500891998288</v>
      </c>
      <c r="O27" s="108"/>
      <c r="P27" s="109"/>
      <c r="Q27" s="109"/>
      <c r="R27" s="109"/>
      <c r="S27" s="110"/>
      <c r="U27" s="24" t="s">
        <v>409</v>
      </c>
      <c r="V27" s="25"/>
      <c r="W27" s="25"/>
      <c r="X27" s="25"/>
      <c r="Y27" s="26"/>
    </row>
    <row r="28" spans="1:25" ht="18" x14ac:dyDescent="0.3">
      <c r="A28" s="17" t="s">
        <v>66</v>
      </c>
      <c r="B28" s="16" t="s">
        <v>40</v>
      </c>
      <c r="C28" s="16" t="s">
        <v>41</v>
      </c>
      <c r="D28" s="15" t="s">
        <v>38</v>
      </c>
      <c r="E28" s="15" t="s">
        <v>39</v>
      </c>
      <c r="F28" s="13">
        <v>18.433700000000002</v>
      </c>
      <c r="G28" s="13">
        <v>18.686900000000001</v>
      </c>
      <c r="H28" s="13">
        <v>18.722000000000001</v>
      </c>
      <c r="I28" s="13">
        <v>30.758700000000001</v>
      </c>
      <c r="J28" s="13">
        <v>31.221</v>
      </c>
      <c r="K28" s="13">
        <v>31.6907</v>
      </c>
      <c r="L28" s="7">
        <f>IFERROR((Definitivo[[#This Row],[2024]]-Definitivo[[#This Row],[2000]])/Definitivo[[#This Row],[2000]],0)</f>
        <v>0.71917195137167234</v>
      </c>
      <c r="M28" s="7">
        <f>IFERROR((Definitivo[[#This Row],[2024]]-Definitivo[[#This Row],[2022]])/Definitivo[[#This Row],[2022]],0)</f>
        <v>3.0300370301735723E-2</v>
      </c>
      <c r="O28" s="108"/>
      <c r="P28" s="109"/>
      <c r="Q28" s="109"/>
      <c r="R28" s="109"/>
      <c r="S28" s="110"/>
      <c r="U28" s="27"/>
      <c r="V28" s="28"/>
      <c r="W28" s="28"/>
      <c r="X28" s="28"/>
      <c r="Y28" s="29"/>
    </row>
    <row r="29" spans="1:25" ht="18.600000000000001" thickBot="1" x14ac:dyDescent="0.35">
      <c r="A29" s="17" t="s">
        <v>74</v>
      </c>
      <c r="B29" s="16" t="s">
        <v>56</v>
      </c>
      <c r="C29" s="16" t="s">
        <v>57</v>
      </c>
      <c r="D29" s="15" t="s">
        <v>12</v>
      </c>
      <c r="E29" s="15" t="s">
        <v>13</v>
      </c>
      <c r="F29" s="13">
        <v>21908.996801978352</v>
      </c>
      <c r="G29" s="13">
        <v>19733.651010264537</v>
      </c>
      <c r="H29" s="13">
        <v>20335.096019102304</v>
      </c>
      <c r="I29" s="13">
        <v>65169.519111865666</v>
      </c>
      <c r="J29" s="13">
        <v>65058.37731466737</v>
      </c>
      <c r="K29" s="13">
        <v>64603.985630846415</v>
      </c>
      <c r="L29" s="7">
        <f>IFERROR((Definitivo[[#This Row],[2024]]-Definitivo[[#This Row],[2000]])/Definitivo[[#This Row],[2000]],0)</f>
        <v>1.9487423004695847</v>
      </c>
      <c r="M29" s="7">
        <f>IFERROR((Definitivo[[#This Row],[2024]]-Definitivo[[#This Row],[2022]])/Definitivo[[#This Row],[2022]],0)</f>
        <v>-8.6778832915506646E-3</v>
      </c>
      <c r="O29" s="111"/>
      <c r="P29" s="112"/>
      <c r="Q29" s="112"/>
      <c r="R29" s="112"/>
      <c r="S29" s="113"/>
      <c r="U29" s="27"/>
      <c r="V29" s="28"/>
      <c r="W29" s="28"/>
      <c r="X29" s="28"/>
      <c r="Y29" s="29"/>
    </row>
    <row r="30" spans="1:25" ht="18.600000000000001" thickBot="1" x14ac:dyDescent="0.35">
      <c r="A30" s="17" t="s">
        <v>74</v>
      </c>
      <c r="B30" s="16" t="s">
        <v>56</v>
      </c>
      <c r="C30" s="16" t="s">
        <v>57</v>
      </c>
      <c r="D30" s="15" t="s">
        <v>16</v>
      </c>
      <c r="E30" s="15" t="s">
        <v>17</v>
      </c>
      <c r="F30" s="13">
        <v>79.234146341463429</v>
      </c>
      <c r="G30" s="13">
        <v>79.634146341463421</v>
      </c>
      <c r="H30" s="13">
        <v>79.936585365853674</v>
      </c>
      <c r="I30" s="13">
        <v>83.2</v>
      </c>
      <c r="J30" s="13">
        <v>83.051219512195132</v>
      </c>
      <c r="K30" s="13">
        <v>83.051219512195132</v>
      </c>
      <c r="L30" s="7">
        <f>IFERROR((Definitivo[[#This Row],[2024]]-Definitivo[[#This Row],[2000]])/Definitivo[[#This Row],[2000]],0)</f>
        <v>4.8174598288493443E-2</v>
      </c>
      <c r="M30" s="7">
        <f>IFERROR((Definitivo[[#This Row],[2024]]-Definitivo[[#This Row],[2022]])/Definitivo[[#This Row],[2022]],0)</f>
        <v>-1.7882270168854643E-3</v>
      </c>
      <c r="O30" s="5"/>
      <c r="P30" s="5"/>
      <c r="Q30" s="5"/>
      <c r="R30" s="5"/>
      <c r="S30" s="5"/>
      <c r="U30" s="30"/>
      <c r="V30" s="31"/>
      <c r="W30" s="31"/>
      <c r="X30" s="31"/>
      <c r="Y30" s="32"/>
    </row>
    <row r="31" spans="1:25" ht="18.600000000000001" thickBot="1" x14ac:dyDescent="0.35">
      <c r="A31" s="17" t="s">
        <v>74</v>
      </c>
      <c r="B31" s="16" t="s">
        <v>56</v>
      </c>
      <c r="C31" s="16" t="s">
        <v>57</v>
      </c>
      <c r="D31" s="15" t="s">
        <v>18</v>
      </c>
      <c r="E31" s="15" t="s">
        <v>19</v>
      </c>
      <c r="F31" s="13">
        <v>16.230399999999999</v>
      </c>
      <c r="G31" s="13">
        <v>16.5489</v>
      </c>
      <c r="H31" s="13">
        <v>18.042999999999999</v>
      </c>
      <c r="I31" s="13">
        <v>29.745999999999999</v>
      </c>
      <c r="J31" s="13">
        <v>29.706</v>
      </c>
      <c r="K31" s="13">
        <v>29.857099999999999</v>
      </c>
      <c r="L31" s="7">
        <f>IFERROR((Definitivo[[#This Row],[2024]]-Definitivo[[#This Row],[2000]])/Definitivo[[#This Row],[2000]],0)</f>
        <v>0.83957881506309151</v>
      </c>
      <c r="M31" s="7">
        <f>IFERROR((Definitivo[[#This Row],[2024]]-Definitivo[[#This Row],[2022]])/Definitivo[[#This Row],[2022]],0)</f>
        <v>3.734955960465287E-3</v>
      </c>
      <c r="O31" s="45" t="s">
        <v>398</v>
      </c>
      <c r="P31" s="46"/>
      <c r="Q31" s="46"/>
      <c r="R31" s="46"/>
      <c r="S31" s="47"/>
      <c r="U31" s="5"/>
      <c r="V31" s="5"/>
      <c r="W31" s="5"/>
      <c r="X31" s="5"/>
      <c r="Y31" s="5"/>
    </row>
    <row r="32" spans="1:25" ht="18.600000000000001" thickBot="1" x14ac:dyDescent="0.35">
      <c r="A32" s="17" t="s">
        <v>74</v>
      </c>
      <c r="B32" s="16" t="s">
        <v>56</v>
      </c>
      <c r="C32" s="16" t="s">
        <v>57</v>
      </c>
      <c r="D32" s="15" t="s">
        <v>20</v>
      </c>
      <c r="E32" s="15" t="s">
        <v>21</v>
      </c>
      <c r="F32" s="13">
        <v>75.014300000000006</v>
      </c>
      <c r="G32" s="13">
        <v>74.417000000000002</v>
      </c>
      <c r="H32" s="13">
        <v>76.132400000000004</v>
      </c>
      <c r="I32" s="13">
        <v>89.1892</v>
      </c>
      <c r="J32" s="13">
        <v>96.688000000000002</v>
      </c>
      <c r="K32" s="13">
        <v>100.5104</v>
      </c>
      <c r="L32" s="7">
        <f>IFERROR((Definitivo[[#This Row],[2024]]-Definitivo[[#This Row],[2000]])/Definitivo[[#This Row],[2000]],0)</f>
        <v>0.33988319560403812</v>
      </c>
      <c r="M32" s="7">
        <f>IFERROR((Definitivo[[#This Row],[2024]]-Definitivo[[#This Row],[2022]])/Definitivo[[#This Row],[2022]],0)</f>
        <v>0.12693465128064838</v>
      </c>
      <c r="O32" s="114" t="s">
        <v>399</v>
      </c>
      <c r="P32" s="115"/>
      <c r="Q32" s="115"/>
      <c r="R32" s="115"/>
      <c r="S32" s="116"/>
      <c r="U32" s="42" t="s">
        <v>400</v>
      </c>
      <c r="V32" s="43"/>
      <c r="W32" s="43"/>
      <c r="X32" s="43"/>
      <c r="Y32" s="44"/>
    </row>
    <row r="33" spans="1:25" ht="18" x14ac:dyDescent="0.3">
      <c r="A33" s="17" t="s">
        <v>74</v>
      </c>
      <c r="B33" s="16" t="s">
        <v>56</v>
      </c>
      <c r="C33" s="16" t="s">
        <v>57</v>
      </c>
      <c r="D33" s="15" t="s">
        <v>22</v>
      </c>
      <c r="E33" s="15" t="s">
        <v>23</v>
      </c>
      <c r="F33" s="13">
        <v>13.8454</v>
      </c>
      <c r="G33" s="13">
        <v>14.2227</v>
      </c>
      <c r="H33" s="13">
        <v>14.3231</v>
      </c>
      <c r="I33" s="13">
        <v>14.0861</v>
      </c>
      <c r="J33" s="13">
        <v>13.6317</v>
      </c>
      <c r="K33" s="13">
        <v>13.4772</v>
      </c>
      <c r="L33" s="7">
        <f>IFERROR((Definitivo[[#This Row],[2024]]-Definitivo[[#This Row],[2000]])/Definitivo[[#This Row],[2000]],0)</f>
        <v>-2.6593670099816537E-2</v>
      </c>
      <c r="M33" s="7">
        <f>IFERROR((Definitivo[[#This Row],[2024]]-Definitivo[[#This Row],[2022]])/Definitivo[[#This Row],[2022]],0)</f>
        <v>-4.322701102505308E-2</v>
      </c>
      <c r="O33" s="117"/>
      <c r="P33" s="118"/>
      <c r="Q33" s="118"/>
      <c r="R33" s="118"/>
      <c r="S33" s="119"/>
      <c r="U33" s="33" t="s">
        <v>410</v>
      </c>
      <c r="V33" s="34"/>
      <c r="W33" s="34"/>
      <c r="X33" s="34"/>
      <c r="Y33" s="35"/>
    </row>
    <row r="34" spans="1:25" ht="18" x14ac:dyDescent="0.3">
      <c r="A34" s="17" t="s">
        <v>74</v>
      </c>
      <c r="B34" s="16" t="s">
        <v>56</v>
      </c>
      <c r="C34" s="16" t="s">
        <v>57</v>
      </c>
      <c r="D34" s="15" t="s">
        <v>24</v>
      </c>
      <c r="E34" s="15" t="s">
        <v>25</v>
      </c>
      <c r="F34" s="13">
        <v>1.2529999999999999</v>
      </c>
      <c r="G34" s="13">
        <v>1.3771</v>
      </c>
      <c r="H34" s="13">
        <v>1.6823999999999999</v>
      </c>
      <c r="I34" s="13">
        <v>2.8626999999999998</v>
      </c>
      <c r="J34" s="13">
        <v>2.8102999999999998</v>
      </c>
      <c r="K34" s="13">
        <v>2.7917000000000001</v>
      </c>
      <c r="L34" s="7">
        <f>IFERROR((Definitivo[[#This Row],[2024]]-Definitivo[[#This Row],[2000]])/Definitivo[[#This Row],[2000]],0)</f>
        <v>1.2280127693535516</v>
      </c>
      <c r="M34" s="7">
        <f>IFERROR((Definitivo[[#This Row],[2024]]-Definitivo[[#This Row],[2022]])/Definitivo[[#This Row],[2022]],0)</f>
        <v>-2.4801760575680211E-2</v>
      </c>
      <c r="O34" s="117"/>
      <c r="P34" s="118"/>
      <c r="Q34" s="118"/>
      <c r="R34" s="118"/>
      <c r="S34" s="119"/>
      <c r="U34" s="36"/>
      <c r="V34" s="37"/>
      <c r="W34" s="37"/>
      <c r="X34" s="37"/>
      <c r="Y34" s="38"/>
    </row>
    <row r="35" spans="1:25" ht="18" x14ac:dyDescent="0.3">
      <c r="A35" s="17" t="s">
        <v>74</v>
      </c>
      <c r="B35" s="16" t="s">
        <v>56</v>
      </c>
      <c r="C35" s="16" t="s">
        <v>57</v>
      </c>
      <c r="D35" s="15" t="s">
        <v>26</v>
      </c>
      <c r="E35" s="15" t="s">
        <v>27</v>
      </c>
      <c r="F35" s="13">
        <v>1.35E-2</v>
      </c>
      <c r="G35" s="13">
        <v>1.3599999999999999E-2</v>
      </c>
      <c r="H35" s="13">
        <v>1.37E-2</v>
      </c>
      <c r="I35" s="13">
        <v>1.6299999999999999E-2</v>
      </c>
      <c r="J35" s="13">
        <v>1.6500000000000001E-2</v>
      </c>
      <c r="K35" s="13">
        <v>1.66E-2</v>
      </c>
      <c r="L35" s="7">
        <f>IFERROR((Definitivo[[#This Row],[2024]]-Definitivo[[#This Row],[2000]])/Definitivo[[#This Row],[2000]],0)</f>
        <v>0.22962962962962966</v>
      </c>
      <c r="M35" s="7">
        <f>IFERROR((Definitivo[[#This Row],[2024]]-Definitivo[[#This Row],[2022]])/Definitivo[[#This Row],[2022]],0)</f>
        <v>1.8404907975460225E-2</v>
      </c>
      <c r="O35" s="117"/>
      <c r="P35" s="118"/>
      <c r="Q35" s="118"/>
      <c r="R35" s="118"/>
      <c r="S35" s="119"/>
      <c r="U35" s="36"/>
      <c r="V35" s="37"/>
      <c r="W35" s="37"/>
      <c r="X35" s="37"/>
      <c r="Y35" s="38"/>
    </row>
    <row r="36" spans="1:25" ht="18.600000000000001" thickBot="1" x14ac:dyDescent="0.35">
      <c r="A36" s="17" t="s">
        <v>74</v>
      </c>
      <c r="B36" s="16" t="s">
        <v>56</v>
      </c>
      <c r="C36" s="16" t="s">
        <v>57</v>
      </c>
      <c r="D36" s="15" t="s">
        <v>28</v>
      </c>
      <c r="E36" s="15" t="s">
        <v>29</v>
      </c>
      <c r="F36" s="13">
        <v>353.8956</v>
      </c>
      <c r="G36" s="13">
        <v>360.42790000000002</v>
      </c>
      <c r="H36" s="13">
        <v>368.6413</v>
      </c>
      <c r="I36" s="13">
        <v>378.06509999999997</v>
      </c>
      <c r="J36" s="13">
        <v>377.4957</v>
      </c>
      <c r="K36" s="13">
        <v>383.40309999999999</v>
      </c>
      <c r="L36" s="7">
        <f>IFERROR((Definitivo[[#This Row],[2024]]-Definitivo[[#This Row],[2000]])/Definitivo[[#This Row],[2000]],0)</f>
        <v>8.3379109545300908E-2</v>
      </c>
      <c r="M36" s="7">
        <f>IFERROR((Definitivo[[#This Row],[2024]]-Definitivo[[#This Row],[2022]])/Definitivo[[#This Row],[2022]],0)</f>
        <v>1.4119261471106492E-2</v>
      </c>
      <c r="O36" s="120"/>
      <c r="P36" s="121"/>
      <c r="Q36" s="121"/>
      <c r="R36" s="121"/>
      <c r="S36" s="122"/>
      <c r="U36" s="36"/>
      <c r="V36" s="37"/>
      <c r="W36" s="37"/>
      <c r="X36" s="37"/>
      <c r="Y36" s="38"/>
    </row>
    <row r="37" spans="1:25" ht="18.600000000000001" thickBot="1" x14ac:dyDescent="0.35">
      <c r="A37" s="17" t="s">
        <v>74</v>
      </c>
      <c r="B37" s="16" t="s">
        <v>56</v>
      </c>
      <c r="C37" s="16" t="s">
        <v>57</v>
      </c>
      <c r="D37" s="15" t="s">
        <v>32</v>
      </c>
      <c r="E37" s="15" t="s">
        <v>33</v>
      </c>
      <c r="F37" s="13">
        <v>326000000</v>
      </c>
      <c r="G37" s="13">
        <v>1215000000</v>
      </c>
      <c r="H37" s="13">
        <v>638000000</v>
      </c>
      <c r="I37" s="13">
        <v>815000000</v>
      </c>
      <c r="J37" s="13">
        <v>379000000</v>
      </c>
      <c r="K37" s="13">
        <v>983000000</v>
      </c>
      <c r="L37" s="7">
        <f>IFERROR((Definitivo[[#This Row],[2024]]-Definitivo[[#This Row],[2000]])/Definitivo[[#This Row],[2000]],0)</f>
        <v>2.0153374233128836</v>
      </c>
      <c r="M37" s="7">
        <f>IFERROR((Definitivo[[#This Row],[2024]]-Definitivo[[#This Row],[2022]])/Definitivo[[#This Row],[2022]],0)</f>
        <v>0.20613496932515338</v>
      </c>
      <c r="O37" s="5"/>
      <c r="P37" s="5"/>
      <c r="Q37" s="5"/>
      <c r="R37" s="5"/>
      <c r="S37" s="5"/>
      <c r="U37" s="36"/>
      <c r="V37" s="37"/>
      <c r="W37" s="37"/>
      <c r="X37" s="37"/>
      <c r="Y37" s="38"/>
    </row>
    <row r="38" spans="1:25" ht="18.600000000000001" thickBot="1" x14ac:dyDescent="0.35">
      <c r="A38" s="17" t="s">
        <v>74</v>
      </c>
      <c r="B38" s="16" t="s">
        <v>56</v>
      </c>
      <c r="C38" s="16" t="s">
        <v>57</v>
      </c>
      <c r="D38" s="15" t="s">
        <v>34</v>
      </c>
      <c r="E38" s="15" t="s">
        <v>35</v>
      </c>
      <c r="F38" s="13">
        <v>12546000000</v>
      </c>
      <c r="G38" s="13">
        <v>13617500000</v>
      </c>
      <c r="H38" s="13">
        <v>14626500000</v>
      </c>
      <c r="I38" s="13">
        <v>46774583500</v>
      </c>
      <c r="J38" s="13">
        <v>48825218500</v>
      </c>
      <c r="K38" s="13">
        <v>51405750000</v>
      </c>
      <c r="L38" s="7">
        <f>IFERROR((Definitivo[[#This Row],[2024]]-Definitivo[[#This Row],[2000]])/Definitivo[[#This Row],[2000]],0)</f>
        <v>3.0973816355810615</v>
      </c>
      <c r="M38" s="7">
        <f>IFERROR((Definitivo[[#This Row],[2024]]-Definitivo[[#This Row],[2022]])/Definitivo[[#This Row],[2022]],0)</f>
        <v>9.9010320423270043E-2</v>
      </c>
      <c r="O38" s="45" t="s">
        <v>400</v>
      </c>
      <c r="P38" s="46"/>
      <c r="Q38" s="46"/>
      <c r="R38" s="46"/>
      <c r="S38" s="47"/>
      <c r="U38" s="39"/>
      <c r="V38" s="40"/>
      <c r="W38" s="40"/>
      <c r="X38" s="40"/>
      <c r="Y38" s="41"/>
    </row>
    <row r="39" spans="1:25" ht="18" x14ac:dyDescent="0.3">
      <c r="A39" s="17" t="s">
        <v>74</v>
      </c>
      <c r="B39" s="16" t="s">
        <v>56</v>
      </c>
      <c r="C39" s="16" t="s">
        <v>57</v>
      </c>
      <c r="D39" s="15" t="s">
        <v>36</v>
      </c>
      <c r="E39" s="15" t="s">
        <v>37</v>
      </c>
      <c r="F39" s="13">
        <v>16.016300000000001</v>
      </c>
      <c r="G39" s="13">
        <v>16.1418</v>
      </c>
      <c r="H39" s="13">
        <v>16.436</v>
      </c>
      <c r="I39" s="13">
        <v>15.470499999999999</v>
      </c>
      <c r="J39" s="13">
        <v>15.553900000000001</v>
      </c>
      <c r="K39" s="13">
        <v>15.704700000000001</v>
      </c>
      <c r="L39" s="7">
        <f>IFERROR((Definitivo[[#This Row],[2024]]-Definitivo[[#This Row],[2000]])/Definitivo[[#This Row],[2000]],0)</f>
        <v>-1.9455180035339015E-2</v>
      </c>
      <c r="M39" s="7">
        <f>IFERROR((Definitivo[[#This Row],[2024]]-Definitivo[[#This Row],[2022]])/Definitivo[[#This Row],[2022]],0)</f>
        <v>1.513848938301938E-2</v>
      </c>
      <c r="O39" s="96" t="s">
        <v>401</v>
      </c>
      <c r="P39" s="97"/>
      <c r="Q39" s="97"/>
      <c r="R39" s="97"/>
      <c r="S39" s="98"/>
    </row>
    <row r="40" spans="1:25" ht="18" x14ac:dyDescent="0.3">
      <c r="A40" s="17" t="s">
        <v>74</v>
      </c>
      <c r="B40" s="16" t="s">
        <v>56</v>
      </c>
      <c r="C40" s="16" t="s">
        <v>57</v>
      </c>
      <c r="D40" s="15" t="s">
        <v>38</v>
      </c>
      <c r="E40" s="15" t="s">
        <v>39</v>
      </c>
      <c r="F40" s="13">
        <v>0.50260000000000005</v>
      </c>
      <c r="G40" s="13">
        <v>0.52210000000000001</v>
      </c>
      <c r="H40" s="13">
        <v>0.54879999999999995</v>
      </c>
      <c r="I40" s="13">
        <v>1.0086999999999999</v>
      </c>
      <c r="J40" s="13">
        <v>1.0197000000000001</v>
      </c>
      <c r="K40" s="13">
        <v>1.0307999999999999</v>
      </c>
      <c r="L40" s="7">
        <f>IFERROR((Definitivo[[#This Row],[2024]]-Definitivo[[#This Row],[2000]])/Definitivo[[#This Row],[2000]],0)</f>
        <v>1.050935137286112</v>
      </c>
      <c r="M40" s="7">
        <f>IFERROR((Definitivo[[#This Row],[2024]]-Definitivo[[#This Row],[2022]])/Definitivo[[#This Row],[2022]],0)</f>
        <v>2.1909388321602073E-2</v>
      </c>
      <c r="O40" s="99"/>
      <c r="P40" s="100"/>
      <c r="Q40" s="100"/>
      <c r="R40" s="100"/>
      <c r="S40" s="101"/>
    </row>
    <row r="41" spans="1:25" ht="18" x14ac:dyDescent="0.3">
      <c r="A41" s="17" t="s">
        <v>87</v>
      </c>
      <c r="B41" s="16" t="s">
        <v>44</v>
      </c>
      <c r="C41" s="16" t="s">
        <v>45</v>
      </c>
      <c r="D41" s="15" t="s">
        <v>12</v>
      </c>
      <c r="E41" s="15" t="s">
        <v>13</v>
      </c>
      <c r="F41" s="13">
        <v>3766.5478633983453</v>
      </c>
      <c r="G41" s="13">
        <v>3176.2897505252413</v>
      </c>
      <c r="H41" s="13">
        <v>2855.9401713704933</v>
      </c>
      <c r="I41" s="13">
        <v>9281.3328213686418</v>
      </c>
      <c r="J41" s="13">
        <v>10377.58977191948</v>
      </c>
      <c r="K41" s="13">
        <v>10310.548877816553</v>
      </c>
      <c r="L41" s="7">
        <f>IFERROR((Definitivo[[#This Row],[2024]]-Definitivo[[#This Row],[2000]])/Definitivo[[#This Row],[2000]],0)</f>
        <v>1.7374002008602969</v>
      </c>
      <c r="M41" s="7">
        <f>IFERROR((Definitivo[[#This Row],[2024]]-Definitivo[[#This Row],[2022]])/Definitivo[[#This Row],[2022]],0)</f>
        <v>0.1108909761406596</v>
      </c>
      <c r="O41" s="99"/>
      <c r="P41" s="100"/>
      <c r="Q41" s="100"/>
      <c r="R41" s="100"/>
      <c r="S41" s="101"/>
    </row>
    <row r="42" spans="1:25" ht="18" x14ac:dyDescent="0.3">
      <c r="A42" s="17" t="s">
        <v>87</v>
      </c>
      <c r="B42" s="16" t="s">
        <v>44</v>
      </c>
      <c r="C42" s="16" t="s">
        <v>45</v>
      </c>
      <c r="D42" s="15" t="s">
        <v>16</v>
      </c>
      <c r="E42" s="15" t="s">
        <v>17</v>
      </c>
      <c r="F42" s="13">
        <v>69.584000000000003</v>
      </c>
      <c r="G42" s="13">
        <v>69.98</v>
      </c>
      <c r="H42" s="13">
        <v>70.396000000000001</v>
      </c>
      <c r="I42" s="13">
        <v>74.872</v>
      </c>
      <c r="J42" s="13">
        <v>75.847999999999999</v>
      </c>
      <c r="K42" s="13">
        <v>76.022999999999996</v>
      </c>
      <c r="L42" s="7">
        <f>IFERROR((Definitivo[[#This Row],[2024]]-Definitivo[[#This Row],[2000]])/Definitivo[[#This Row],[2000]],0)</f>
        <v>9.2535640377098077E-2</v>
      </c>
      <c r="M42" s="7">
        <f>IFERROR((Definitivo[[#This Row],[2024]]-Definitivo[[#This Row],[2022]])/Definitivo[[#This Row],[2022]],0)</f>
        <v>1.5372903087936695E-2</v>
      </c>
      <c r="O42" s="99"/>
      <c r="P42" s="100"/>
      <c r="Q42" s="100"/>
      <c r="R42" s="100"/>
      <c r="S42" s="101"/>
    </row>
    <row r="43" spans="1:25" ht="18" x14ac:dyDescent="0.3">
      <c r="A43" s="17" t="s">
        <v>87</v>
      </c>
      <c r="B43" s="16" t="s">
        <v>44</v>
      </c>
      <c r="C43" s="16" t="s">
        <v>45</v>
      </c>
      <c r="D43" s="15" t="s">
        <v>18</v>
      </c>
      <c r="E43" s="15" t="s">
        <v>19</v>
      </c>
      <c r="F43" s="13">
        <v>35.632100000000001</v>
      </c>
      <c r="G43" s="13">
        <v>37.248100000000001</v>
      </c>
      <c r="H43" s="13">
        <v>36.696599999999997</v>
      </c>
      <c r="I43" s="13">
        <v>40.638199999999998</v>
      </c>
      <c r="J43" s="13">
        <v>42.180100000000003</v>
      </c>
      <c r="K43" s="13">
        <v>42.324100000000001</v>
      </c>
      <c r="L43" s="7">
        <f>IFERROR((Definitivo[[#This Row],[2024]]-Definitivo[[#This Row],[2000]])/Definitivo[[#This Row],[2000]],0)</f>
        <v>0.18780818419346601</v>
      </c>
      <c r="M43" s="7">
        <f>IFERROR((Definitivo[[#This Row],[2024]]-Definitivo[[#This Row],[2022]])/Definitivo[[#This Row],[2022]],0)</f>
        <v>4.1485597295155885E-2</v>
      </c>
      <c r="O43" s="99"/>
      <c r="P43" s="100"/>
      <c r="Q43" s="100"/>
      <c r="R43" s="100"/>
      <c r="S43" s="101"/>
    </row>
    <row r="44" spans="1:25" ht="18" x14ac:dyDescent="0.3">
      <c r="A44" s="17" t="s">
        <v>87</v>
      </c>
      <c r="B44" s="16" t="s">
        <v>44</v>
      </c>
      <c r="C44" s="16" t="s">
        <v>45</v>
      </c>
      <c r="D44" s="15" t="s">
        <v>20</v>
      </c>
      <c r="E44" s="15" t="s">
        <v>21</v>
      </c>
      <c r="F44" s="13">
        <v>125.4845</v>
      </c>
      <c r="G44" s="13">
        <v>128.04150000000001</v>
      </c>
      <c r="H44" s="13">
        <v>130.01240000000001</v>
      </c>
      <c r="I44" s="13">
        <v>212.577</v>
      </c>
      <c r="J44" s="13">
        <v>218.17169999999999</v>
      </c>
      <c r="K44" s="13">
        <v>219.28909999999999</v>
      </c>
      <c r="L44" s="7">
        <f>IFERROR((Definitivo[[#This Row],[2024]]-Definitivo[[#This Row],[2000]])/Definitivo[[#This Row],[2000]],0)</f>
        <v>0.74753933752774249</v>
      </c>
      <c r="M44" s="7">
        <f>IFERROR((Definitivo[[#This Row],[2024]]-Definitivo[[#This Row],[2022]])/Definitivo[[#This Row],[2022]],0)</f>
        <v>3.1574911679062137E-2</v>
      </c>
      <c r="O44" s="99"/>
      <c r="P44" s="100"/>
      <c r="Q44" s="100"/>
      <c r="R44" s="100"/>
      <c r="S44" s="101"/>
    </row>
    <row r="45" spans="1:25" ht="18.600000000000001" thickBot="1" x14ac:dyDescent="0.35">
      <c r="A45" s="17" t="s">
        <v>87</v>
      </c>
      <c r="B45" s="16" t="s">
        <v>44</v>
      </c>
      <c r="C45" s="16" t="s">
        <v>45</v>
      </c>
      <c r="D45" s="15" t="s">
        <v>22</v>
      </c>
      <c r="E45" s="15" t="s">
        <v>23</v>
      </c>
      <c r="F45" s="13">
        <v>39.333399999999997</v>
      </c>
      <c r="G45" s="13">
        <v>37.204300000000003</v>
      </c>
      <c r="H45" s="13">
        <v>38.409599999999998</v>
      </c>
      <c r="I45" s="13">
        <v>47.055100000000003</v>
      </c>
      <c r="J45" s="13">
        <v>47.345700000000001</v>
      </c>
      <c r="K45" s="13">
        <v>48.169899999999998</v>
      </c>
      <c r="L45" s="7">
        <f>IFERROR((Definitivo[[#This Row],[2024]]-Definitivo[[#This Row],[2000]])/Definitivo[[#This Row],[2000]],0)</f>
        <v>0.22465639888745956</v>
      </c>
      <c r="M45" s="7">
        <f>IFERROR((Definitivo[[#This Row],[2024]]-Definitivo[[#This Row],[2022]])/Definitivo[[#This Row],[2022]],0)</f>
        <v>2.3691374580013542E-2</v>
      </c>
      <c r="O45" s="102"/>
      <c r="P45" s="103"/>
      <c r="Q45" s="103"/>
      <c r="R45" s="103"/>
      <c r="S45" s="104"/>
    </row>
    <row r="46" spans="1:25" ht="18" x14ac:dyDescent="0.3">
      <c r="A46" s="17" t="s">
        <v>87</v>
      </c>
      <c r="B46" s="16" t="s">
        <v>44</v>
      </c>
      <c r="C46" s="16" t="s">
        <v>45</v>
      </c>
      <c r="D46" s="15" t="s">
        <v>24</v>
      </c>
      <c r="E46" s="15" t="s">
        <v>25</v>
      </c>
      <c r="F46" s="13">
        <v>5.3531000000000004</v>
      </c>
      <c r="G46" s="13">
        <v>4.6631999999999998</v>
      </c>
      <c r="H46" s="13">
        <v>4.8023999999999996</v>
      </c>
      <c r="I46" s="13">
        <v>12.8878</v>
      </c>
      <c r="J46" s="13">
        <v>12.943099999999999</v>
      </c>
      <c r="K46" s="13">
        <v>13.198600000000001</v>
      </c>
      <c r="L46" s="7">
        <f>IFERROR((Definitivo[[#This Row],[2024]]-Definitivo[[#This Row],[2000]])/Definitivo[[#This Row],[2000]],0)</f>
        <v>1.4655993723263157</v>
      </c>
      <c r="M46" s="7">
        <f>IFERROR((Definitivo[[#This Row],[2024]]-Definitivo[[#This Row],[2022]])/Definitivo[[#This Row],[2022]],0)</f>
        <v>2.4115830475333291E-2</v>
      </c>
      <c r="U46" s="5"/>
      <c r="V46" s="5"/>
      <c r="W46" s="5"/>
      <c r="X46" s="5"/>
      <c r="Y46" s="5"/>
    </row>
    <row r="47" spans="1:25" ht="18" x14ac:dyDescent="0.3">
      <c r="A47" s="17" t="s">
        <v>87</v>
      </c>
      <c r="B47" s="16" t="s">
        <v>44</v>
      </c>
      <c r="C47" s="16" t="s">
        <v>45</v>
      </c>
      <c r="D47" s="15" t="s">
        <v>26</v>
      </c>
      <c r="E47" s="15" t="s">
        <v>27</v>
      </c>
      <c r="F47" s="13">
        <v>0.22450000000000001</v>
      </c>
      <c r="G47" s="13">
        <v>0.2286</v>
      </c>
      <c r="H47" s="13">
        <v>0.2326</v>
      </c>
      <c r="I47" s="13">
        <v>0.29920000000000002</v>
      </c>
      <c r="J47" s="13">
        <v>0.30209999999999998</v>
      </c>
      <c r="K47" s="13">
        <v>0.30499999999999999</v>
      </c>
      <c r="L47" s="7">
        <f>IFERROR((Definitivo[[#This Row],[2024]]-Definitivo[[#This Row],[2000]])/Definitivo[[#This Row],[2000]],0)</f>
        <v>0.35857461024498882</v>
      </c>
      <c r="M47" s="7">
        <f>IFERROR((Definitivo[[#This Row],[2024]]-Definitivo[[#This Row],[2022]])/Definitivo[[#This Row],[2022]],0)</f>
        <v>1.9385026737967818E-2</v>
      </c>
    </row>
    <row r="48" spans="1:25" ht="18" x14ac:dyDescent="0.3">
      <c r="A48" s="17" t="s">
        <v>87</v>
      </c>
      <c r="B48" s="16" t="s">
        <v>44</v>
      </c>
      <c r="C48" s="16" t="s">
        <v>45</v>
      </c>
      <c r="D48" s="15" t="s">
        <v>28</v>
      </c>
      <c r="E48" s="15" t="s">
        <v>29</v>
      </c>
      <c r="F48" s="13">
        <v>349.4076</v>
      </c>
      <c r="G48" s="13">
        <v>351.33670000000001</v>
      </c>
      <c r="H48" s="13">
        <v>351.43700000000001</v>
      </c>
      <c r="I48" s="13">
        <v>479.26639999999998</v>
      </c>
      <c r="J48" s="13">
        <v>480.23500000000001</v>
      </c>
      <c r="K48" s="13">
        <v>491.46879999999999</v>
      </c>
      <c r="L48" s="7">
        <f>IFERROR((Definitivo[[#This Row],[2024]]-Definitivo[[#This Row],[2000]])/Definitivo[[#This Row],[2000]],0)</f>
        <v>0.40657730398537406</v>
      </c>
      <c r="M48" s="7">
        <f>IFERROR((Definitivo[[#This Row],[2024]]-Definitivo[[#This Row],[2022]])/Definitivo[[#This Row],[2022]],0)</f>
        <v>2.5460578918113208E-2</v>
      </c>
    </row>
    <row r="49" spans="1:13" ht="18" x14ac:dyDescent="0.3">
      <c r="A49" s="17" t="s">
        <v>87</v>
      </c>
      <c r="B49" s="16" t="s">
        <v>44</v>
      </c>
      <c r="C49" s="16" t="s">
        <v>45</v>
      </c>
      <c r="D49" s="15" t="s">
        <v>32</v>
      </c>
      <c r="E49" s="15" t="s">
        <v>33</v>
      </c>
      <c r="F49" s="13">
        <v>86000000</v>
      </c>
      <c r="G49" s="13">
        <v>573000000</v>
      </c>
      <c r="H49" s="13">
        <v>221000000</v>
      </c>
      <c r="I49" s="13">
        <v>469000000</v>
      </c>
      <c r="J49" s="13">
        <v>185000000</v>
      </c>
      <c r="K49" s="13">
        <v>435000000</v>
      </c>
      <c r="L49" s="7">
        <f>IFERROR((Definitivo[[#This Row],[2024]]-Definitivo[[#This Row],[2000]])/Definitivo[[#This Row],[2000]],0)</f>
        <v>4.058139534883721</v>
      </c>
      <c r="M49" s="7">
        <f>IFERROR((Definitivo[[#This Row],[2024]]-Definitivo[[#This Row],[2022]])/Definitivo[[#This Row],[2022]],0)</f>
        <v>-7.2494669509594878E-2</v>
      </c>
    </row>
    <row r="50" spans="1:13" ht="18" x14ac:dyDescent="0.3">
      <c r="A50" s="17" t="s">
        <v>87</v>
      </c>
      <c r="B50" s="16" t="s">
        <v>44</v>
      </c>
      <c r="C50" s="16" t="s">
        <v>45</v>
      </c>
      <c r="D50" s="15" t="s">
        <v>34</v>
      </c>
      <c r="E50" s="15" t="s">
        <v>35</v>
      </c>
      <c r="F50" s="13">
        <v>20753000000</v>
      </c>
      <c r="G50" s="13">
        <v>25682000000</v>
      </c>
      <c r="H50" s="13">
        <v>28224000000</v>
      </c>
      <c r="I50" s="13">
        <v>106078600000</v>
      </c>
      <c r="J50" s="13">
        <v>108819000000</v>
      </c>
      <c r="K50" s="13">
        <v>112971700000</v>
      </c>
      <c r="L50" s="7">
        <f>IFERROR((Definitivo[[#This Row],[2024]]-Definitivo[[#This Row],[2000]])/Definitivo[[#This Row],[2000]],0)</f>
        <v>4.4436322459403463</v>
      </c>
      <c r="M50" s="7">
        <f>IFERROR((Definitivo[[#This Row],[2024]]-Definitivo[[#This Row],[2022]])/Definitivo[[#This Row],[2022]],0)</f>
        <v>6.4981061213100474E-2</v>
      </c>
    </row>
    <row r="51" spans="1:13" ht="18" x14ac:dyDescent="0.3">
      <c r="A51" s="17" t="s">
        <v>87</v>
      </c>
      <c r="B51" s="16" t="s">
        <v>44</v>
      </c>
      <c r="C51" s="16" t="s">
        <v>45</v>
      </c>
      <c r="D51" s="15" t="s">
        <v>36</v>
      </c>
      <c r="E51" s="15" t="s">
        <v>37</v>
      </c>
      <c r="F51" s="13">
        <v>52.073799999999999</v>
      </c>
      <c r="G51" s="13">
        <v>52.858400000000003</v>
      </c>
      <c r="H51" s="13">
        <v>55.826999999999998</v>
      </c>
      <c r="I51" s="13">
        <v>104.4671</v>
      </c>
      <c r="J51" s="13">
        <v>106.3052</v>
      </c>
      <c r="K51" s="13">
        <v>107.9243</v>
      </c>
      <c r="L51" s="7">
        <f>IFERROR((Definitivo[[#This Row],[2024]]-Definitivo[[#This Row],[2000]])/Definitivo[[#This Row],[2000]],0)</f>
        <v>1.072525915143508</v>
      </c>
      <c r="M51" s="7">
        <f>IFERROR((Definitivo[[#This Row],[2024]]-Definitivo[[#This Row],[2022]])/Definitivo[[#This Row],[2022]],0)</f>
        <v>3.3093672553368481E-2</v>
      </c>
    </row>
    <row r="52" spans="1:13" ht="18" x14ac:dyDescent="0.3">
      <c r="A52" s="17" t="s">
        <v>87</v>
      </c>
      <c r="B52" s="16" t="s">
        <v>44</v>
      </c>
      <c r="C52" s="16" t="s">
        <v>45</v>
      </c>
      <c r="D52" s="15" t="s">
        <v>38</v>
      </c>
      <c r="E52" s="15" t="s">
        <v>39</v>
      </c>
      <c r="F52" s="13">
        <v>2.3700999999999999</v>
      </c>
      <c r="G52" s="13">
        <v>2.4184000000000001</v>
      </c>
      <c r="H52" s="13">
        <v>2.4994000000000001</v>
      </c>
      <c r="I52" s="13">
        <v>3.7736999999999998</v>
      </c>
      <c r="J52" s="13">
        <v>3.7967</v>
      </c>
      <c r="K52" s="13">
        <v>3.8197999999999999</v>
      </c>
      <c r="L52" s="7">
        <f>IFERROR((Definitivo[[#This Row],[2024]]-Definitivo[[#This Row],[2000]])/Definitivo[[#This Row],[2000]],0)</f>
        <v>0.61166195519176414</v>
      </c>
      <c r="M52" s="7">
        <f>IFERROR((Definitivo[[#This Row],[2024]]-Definitivo[[#This Row],[2022]])/Definitivo[[#This Row],[2022]],0)</f>
        <v>1.221612740811406E-2</v>
      </c>
    </row>
    <row r="53" spans="1:13" ht="18" x14ac:dyDescent="0.3">
      <c r="A53" s="17" t="s">
        <v>71</v>
      </c>
      <c r="B53" s="16" t="s">
        <v>46</v>
      </c>
      <c r="C53" s="16" t="s">
        <v>47</v>
      </c>
      <c r="D53" s="15" t="s">
        <v>12</v>
      </c>
      <c r="E53" s="15" t="s">
        <v>13</v>
      </c>
      <c r="F53" s="13">
        <v>23925.855990199114</v>
      </c>
      <c r="G53" s="13">
        <v>23878.364147165095</v>
      </c>
      <c r="H53" s="13">
        <v>25486.594200874752</v>
      </c>
      <c r="I53" s="13">
        <v>50506.517963854327</v>
      </c>
      <c r="J53" s="13">
        <v>54776.766823549093</v>
      </c>
      <c r="K53" s="13">
        <v>56103.732318255446</v>
      </c>
      <c r="L53" s="7">
        <f>IFERROR((Definitivo[[#This Row],[2024]]-Definitivo[[#This Row],[2000]])/Definitivo[[#This Row],[2000]],0)</f>
        <v>1.3448996909969508</v>
      </c>
      <c r="M53" s="7">
        <f>IFERROR((Definitivo[[#This Row],[2024]]-Definitivo[[#This Row],[2022]])/Definitivo[[#This Row],[2022]],0)</f>
        <v>0.11082162421901351</v>
      </c>
    </row>
    <row r="54" spans="1:13" ht="18" x14ac:dyDescent="0.3">
      <c r="A54" s="17" t="s">
        <v>71</v>
      </c>
      <c r="B54" s="16" t="s">
        <v>46</v>
      </c>
      <c r="C54" s="16" t="s">
        <v>47</v>
      </c>
      <c r="D54" s="15" t="s">
        <v>14</v>
      </c>
      <c r="E54" s="15" t="s">
        <v>15</v>
      </c>
      <c r="F54" s="13">
        <v>9.7593040500000008</v>
      </c>
      <c r="G54" s="13">
        <v>9.7810554500000002</v>
      </c>
      <c r="H54" s="13">
        <v>10.028964999999999</v>
      </c>
      <c r="I54" s="13">
        <v>12.447083470000001</v>
      </c>
      <c r="J54" s="13">
        <v>11.744286539999999</v>
      </c>
      <c r="K54" s="13">
        <v>12.26655293</v>
      </c>
      <c r="L54" s="7">
        <f>IFERROR((Definitivo[[#This Row],[2024]]-Definitivo[[#This Row],[2000]])/Definitivo[[#This Row],[2000]],0)</f>
        <v>0.2569085733116388</v>
      </c>
      <c r="M54" s="7">
        <f>IFERROR((Definitivo[[#This Row],[2024]]-Definitivo[[#This Row],[2022]])/Definitivo[[#This Row],[2022]],0)</f>
        <v>-1.4503842641942308E-2</v>
      </c>
    </row>
    <row r="55" spans="1:13" ht="18" x14ac:dyDescent="0.3">
      <c r="A55" s="17" t="s">
        <v>71</v>
      </c>
      <c r="B55" s="16" t="s">
        <v>46</v>
      </c>
      <c r="C55" s="16" t="s">
        <v>47</v>
      </c>
      <c r="D55" s="15" t="s">
        <v>16</v>
      </c>
      <c r="E55" s="15" t="s">
        <v>17</v>
      </c>
      <c r="F55" s="13">
        <v>77.926829268292693</v>
      </c>
      <c r="G55" s="13">
        <v>78.329268292682926</v>
      </c>
      <c r="H55" s="13">
        <v>78.229268292682931</v>
      </c>
      <c r="I55" s="13">
        <v>80.608048780487806</v>
      </c>
      <c r="J55" s="13">
        <v>81.041463414634151</v>
      </c>
      <c r="K55" s="13">
        <v>80.792682926829272</v>
      </c>
      <c r="L55" s="7">
        <f>IFERROR((Definitivo[[#This Row],[2024]]-Definitivo[[#This Row],[2000]])/Definitivo[[#This Row],[2000]],0)</f>
        <v>3.6776212832550781E-2</v>
      </c>
      <c r="M55" s="7">
        <f>IFERROR((Definitivo[[#This Row],[2024]]-Definitivo[[#This Row],[2022]])/Definitivo[[#This Row],[2022]],0)</f>
        <v>2.2905174996142451E-3</v>
      </c>
    </row>
    <row r="56" spans="1:13" ht="18" x14ac:dyDescent="0.3">
      <c r="A56" s="17" t="s">
        <v>71</v>
      </c>
      <c r="B56" s="16" t="s">
        <v>46</v>
      </c>
      <c r="C56" s="16" t="s">
        <v>47</v>
      </c>
      <c r="D56" s="15" t="s">
        <v>18</v>
      </c>
      <c r="E56" s="15" t="s">
        <v>19</v>
      </c>
      <c r="F56" s="13">
        <v>172.17490000000001</v>
      </c>
      <c r="G56" s="13">
        <v>188.37129999999999</v>
      </c>
      <c r="H56" s="13">
        <v>176.27070000000001</v>
      </c>
      <c r="I56" s="13">
        <v>121.4623</v>
      </c>
      <c r="J56" s="13">
        <v>113.0859</v>
      </c>
      <c r="K56" s="13">
        <v>118.92230000000001</v>
      </c>
      <c r="L56" s="7">
        <f>IFERROR((Definitivo[[#This Row],[2024]]-Definitivo[[#This Row],[2000]])/Definitivo[[#This Row],[2000]],0)</f>
        <v>-0.30929363106933705</v>
      </c>
      <c r="M56" s="7">
        <f>IFERROR((Definitivo[[#This Row],[2024]]-Definitivo[[#This Row],[2022]])/Definitivo[[#This Row],[2022]],0)</f>
        <v>-2.091183848815634E-2</v>
      </c>
    </row>
    <row r="57" spans="1:13" ht="18" x14ac:dyDescent="0.3">
      <c r="A57" s="17" t="s">
        <v>71</v>
      </c>
      <c r="B57" s="16" t="s">
        <v>46</v>
      </c>
      <c r="C57" s="16" t="s">
        <v>47</v>
      </c>
      <c r="D57" s="15" t="s">
        <v>20</v>
      </c>
      <c r="E57" s="15" t="s">
        <v>21</v>
      </c>
      <c r="F57" s="13">
        <v>173.47040000000001</v>
      </c>
      <c r="G57" s="13">
        <v>169.5369</v>
      </c>
      <c r="H57" s="13">
        <v>167.1233</v>
      </c>
      <c r="I57" s="13">
        <v>140.9573</v>
      </c>
      <c r="J57" s="13">
        <v>136.6369</v>
      </c>
      <c r="K57" s="13">
        <v>138.04339999999999</v>
      </c>
      <c r="L57" s="7">
        <f>IFERROR((Definitivo[[#This Row],[2024]]-Definitivo[[#This Row],[2000]])/Definitivo[[#This Row],[2000]],0)</f>
        <v>-0.20422504358092228</v>
      </c>
      <c r="M57" s="7">
        <f>IFERROR((Definitivo[[#This Row],[2024]]-Definitivo[[#This Row],[2022]])/Definitivo[[#This Row],[2022]],0)</f>
        <v>-2.0672217756724995E-2</v>
      </c>
    </row>
    <row r="58" spans="1:13" ht="18" x14ac:dyDescent="0.3">
      <c r="A58" s="17" t="s">
        <v>71</v>
      </c>
      <c r="B58" s="16" t="s">
        <v>46</v>
      </c>
      <c r="C58" s="16" t="s">
        <v>47</v>
      </c>
      <c r="D58" s="15" t="s">
        <v>22</v>
      </c>
      <c r="E58" s="15" t="s">
        <v>23</v>
      </c>
      <c r="F58" s="13">
        <v>46.885300000000001</v>
      </c>
      <c r="G58" s="13">
        <v>44.3322</v>
      </c>
      <c r="H58" s="13">
        <v>42.932200000000002</v>
      </c>
      <c r="I58" s="13">
        <v>38.888599999999997</v>
      </c>
      <c r="J58" s="13">
        <v>38.622900000000001</v>
      </c>
      <c r="K58" s="13">
        <v>39.704900000000002</v>
      </c>
      <c r="L58" s="7">
        <f>IFERROR((Definitivo[[#This Row],[2024]]-Definitivo[[#This Row],[2000]])/Definitivo[[#This Row],[2000]],0)</f>
        <v>-0.15314821489891284</v>
      </c>
      <c r="M58" s="7">
        <f>IFERROR((Definitivo[[#This Row],[2024]]-Definitivo[[#This Row],[2022]])/Definitivo[[#This Row],[2022]],0)</f>
        <v>2.0990727359689099E-2</v>
      </c>
    </row>
    <row r="59" spans="1:13" ht="18" x14ac:dyDescent="0.3">
      <c r="A59" s="17" t="s">
        <v>71</v>
      </c>
      <c r="B59" s="16" t="s">
        <v>46</v>
      </c>
      <c r="C59" s="16" t="s">
        <v>47</v>
      </c>
      <c r="D59" s="15" t="s">
        <v>24</v>
      </c>
      <c r="E59" s="15" t="s">
        <v>25</v>
      </c>
      <c r="F59" s="13">
        <v>0.45889999999999997</v>
      </c>
      <c r="G59" s="13">
        <v>0.44469999999999998</v>
      </c>
      <c r="H59" s="13">
        <v>0.44790000000000002</v>
      </c>
      <c r="I59" s="13">
        <v>0.68079999999999996</v>
      </c>
      <c r="J59" s="13">
        <v>0.65110000000000001</v>
      </c>
      <c r="K59" s="13">
        <v>0.62170000000000003</v>
      </c>
      <c r="L59" s="7">
        <f>IFERROR((Definitivo[[#This Row],[2024]]-Definitivo[[#This Row],[2000]])/Definitivo[[#This Row],[2000]],0)</f>
        <v>0.35476138592285916</v>
      </c>
      <c r="M59" s="7">
        <f>IFERROR((Definitivo[[#This Row],[2024]]-Definitivo[[#This Row],[2022]])/Definitivo[[#This Row],[2022]],0)</f>
        <v>-8.6809635722679107E-2</v>
      </c>
    </row>
    <row r="60" spans="1:13" ht="18" x14ac:dyDescent="0.3">
      <c r="A60" s="17" t="s">
        <v>71</v>
      </c>
      <c r="B60" s="16" t="s">
        <v>46</v>
      </c>
      <c r="C60" s="16" t="s">
        <v>47</v>
      </c>
      <c r="D60" s="15" t="s">
        <v>28</v>
      </c>
      <c r="E60" s="15" t="s">
        <v>29</v>
      </c>
      <c r="F60" s="13">
        <v>871.38469999999995</v>
      </c>
      <c r="G60" s="13">
        <v>885.47450000000003</v>
      </c>
      <c r="H60" s="13">
        <v>869.94039999999995</v>
      </c>
      <c r="I60" s="13">
        <v>658.08860000000004</v>
      </c>
      <c r="J60" s="13">
        <v>589.65959999999995</v>
      </c>
      <c r="K60" s="13">
        <v>579.93560000000002</v>
      </c>
      <c r="L60" s="7">
        <f>IFERROR((Definitivo[[#This Row],[2024]]-Definitivo[[#This Row],[2000]])/Definitivo[[#This Row],[2000]],0)</f>
        <v>-0.33446662536076194</v>
      </c>
      <c r="M60" s="7">
        <f>IFERROR((Definitivo[[#This Row],[2024]]-Definitivo[[#This Row],[2022]])/Definitivo[[#This Row],[2022]],0)</f>
        <v>-0.11875756547066765</v>
      </c>
    </row>
    <row r="61" spans="1:13" ht="18" x14ac:dyDescent="0.3">
      <c r="A61" s="17" t="s">
        <v>71</v>
      </c>
      <c r="B61" s="16" t="s">
        <v>46</v>
      </c>
      <c r="C61" s="16" t="s">
        <v>47</v>
      </c>
      <c r="D61" s="15" t="s">
        <v>30</v>
      </c>
      <c r="E61" s="15" t="s">
        <v>31</v>
      </c>
      <c r="F61" s="13">
        <v>1677000000</v>
      </c>
      <c r="G61" s="13">
        <v>865000000</v>
      </c>
      <c r="H61" s="13">
        <v>899000000</v>
      </c>
      <c r="I61" s="13">
        <v>1489000000</v>
      </c>
      <c r="J61" s="13">
        <v>2472000000</v>
      </c>
      <c r="K61" s="13">
        <v>2049000000</v>
      </c>
      <c r="L61" s="7">
        <f>IFERROR((Definitivo[[#This Row],[2024]]-Definitivo[[#This Row],[2000]])/Definitivo[[#This Row],[2000]],0)</f>
        <v>0.22182468694096602</v>
      </c>
      <c r="M61" s="7">
        <f>IFERROR((Definitivo[[#This Row],[2024]]-Definitivo[[#This Row],[2022]])/Definitivo[[#This Row],[2022]],0)</f>
        <v>0.37609133646742782</v>
      </c>
    </row>
    <row r="62" spans="1:13" ht="18" x14ac:dyDescent="0.3">
      <c r="A62" s="17" t="s">
        <v>71</v>
      </c>
      <c r="B62" s="16" t="s">
        <v>46</v>
      </c>
      <c r="C62" s="16" t="s">
        <v>47</v>
      </c>
      <c r="D62" s="15" t="s">
        <v>32</v>
      </c>
      <c r="E62" s="15" t="s">
        <v>33</v>
      </c>
      <c r="F62" s="13">
        <v>113000000</v>
      </c>
      <c r="G62" s="13">
        <v>133000000</v>
      </c>
      <c r="H62" s="13">
        <v>71000000</v>
      </c>
      <c r="I62" s="13">
        <v>284000000</v>
      </c>
      <c r="J62" s="13">
        <v>200000000</v>
      </c>
      <c r="K62" s="13">
        <v>239000000</v>
      </c>
      <c r="L62" s="7">
        <f>IFERROR((Definitivo[[#This Row],[2024]]-Definitivo[[#This Row],[2000]])/Definitivo[[#This Row],[2000]],0)</f>
        <v>1.1150442477876106</v>
      </c>
      <c r="M62" s="7">
        <f>IFERROR((Definitivo[[#This Row],[2024]]-Definitivo[[#This Row],[2022]])/Definitivo[[#This Row],[2022]],0)</f>
        <v>-0.15845070422535212</v>
      </c>
    </row>
    <row r="63" spans="1:13" ht="18" x14ac:dyDescent="0.3">
      <c r="A63" s="17" t="s">
        <v>71</v>
      </c>
      <c r="B63" s="16" t="s">
        <v>46</v>
      </c>
      <c r="C63" s="16" t="s">
        <v>47</v>
      </c>
      <c r="D63" s="15" t="s">
        <v>34</v>
      </c>
      <c r="E63" s="15" t="s">
        <v>35</v>
      </c>
      <c r="F63" s="13">
        <v>28627226622.409698</v>
      </c>
      <c r="G63" s="13">
        <v>28715298865.078602</v>
      </c>
      <c r="H63" s="13">
        <v>29202507016.0131</v>
      </c>
      <c r="I63" s="13">
        <v>53389040000</v>
      </c>
      <c r="J63" s="13">
        <v>62279449000</v>
      </c>
      <c r="K63" s="13">
        <v>81776500000</v>
      </c>
      <c r="L63" s="7">
        <f>IFERROR((Definitivo[[#This Row],[2024]]-Definitivo[[#This Row],[2000]])/Definitivo[[#This Row],[2000]],0)</f>
        <v>1.8565987574913905</v>
      </c>
      <c r="M63" s="7">
        <f>IFERROR((Definitivo[[#This Row],[2024]]-Definitivo[[#This Row],[2022]])/Definitivo[[#This Row],[2022]],0)</f>
        <v>0.53170950442263054</v>
      </c>
    </row>
    <row r="64" spans="1:13" ht="18" x14ac:dyDescent="0.3">
      <c r="A64" s="17" t="s">
        <v>71</v>
      </c>
      <c r="B64" s="16" t="s">
        <v>46</v>
      </c>
      <c r="C64" s="16" t="s">
        <v>47</v>
      </c>
      <c r="D64" s="15" t="s">
        <v>36</v>
      </c>
      <c r="E64" s="15" t="s">
        <v>37</v>
      </c>
      <c r="F64" s="13">
        <v>32.052500000000002</v>
      </c>
      <c r="G64" s="13">
        <v>30.011800000000001</v>
      </c>
      <c r="H64" s="13">
        <v>28.279399999999999</v>
      </c>
      <c r="I64" s="13">
        <v>8.2131000000000007</v>
      </c>
      <c r="J64" s="13">
        <v>8.0973000000000006</v>
      </c>
      <c r="K64" s="13">
        <v>8.0991</v>
      </c>
      <c r="L64" s="7">
        <f>IFERROR((Definitivo[[#This Row],[2024]]-Definitivo[[#This Row],[2000]])/Definitivo[[#This Row],[2000]],0)</f>
        <v>-0.74731768192808679</v>
      </c>
      <c r="M64" s="7">
        <f>IFERROR((Definitivo[[#This Row],[2024]]-Definitivo[[#This Row],[2022]])/Definitivo[[#This Row],[2022]],0)</f>
        <v>-1.3880264455564983E-2</v>
      </c>
    </row>
    <row r="65" spans="1:13" ht="18" x14ac:dyDescent="0.3">
      <c r="A65" s="17" t="s">
        <v>71</v>
      </c>
      <c r="B65" s="16" t="s">
        <v>46</v>
      </c>
      <c r="C65" s="16" t="s">
        <v>47</v>
      </c>
      <c r="D65" s="15" t="s">
        <v>38</v>
      </c>
      <c r="E65" s="15" t="s">
        <v>39</v>
      </c>
      <c r="F65" s="13">
        <v>2.0516000000000001</v>
      </c>
      <c r="G65" s="13">
        <v>2.0206</v>
      </c>
      <c r="H65" s="13">
        <v>2.1093000000000002</v>
      </c>
      <c r="I65" s="13">
        <v>2.2561</v>
      </c>
      <c r="J65" s="13">
        <v>2.2555000000000001</v>
      </c>
      <c r="K65" s="13">
        <v>2.2549000000000001</v>
      </c>
      <c r="L65" s="7">
        <f>IFERROR((Definitivo[[#This Row],[2024]]-Definitivo[[#This Row],[2000]])/Definitivo[[#This Row],[2000]],0)</f>
        <v>9.9093390524468722E-2</v>
      </c>
      <c r="M65" s="7">
        <f>IFERROR((Definitivo[[#This Row],[2024]]-Definitivo[[#This Row],[2022]])/Definitivo[[#This Row],[2022]],0)</f>
        <v>-5.3189131687419349E-4</v>
      </c>
    </row>
    <row r="66" spans="1:13" ht="18" x14ac:dyDescent="0.3">
      <c r="A66" s="17" t="s">
        <v>66</v>
      </c>
      <c r="B66" s="16" t="s">
        <v>52</v>
      </c>
      <c r="C66" s="16" t="s">
        <v>53</v>
      </c>
      <c r="D66" s="15" t="s">
        <v>12</v>
      </c>
      <c r="E66" s="15" t="s">
        <v>13</v>
      </c>
      <c r="F66" s="13">
        <v>442.75021893726324</v>
      </c>
      <c r="G66" s="13">
        <v>450.35790051412818</v>
      </c>
      <c r="H66" s="13">
        <v>469.14992897392727</v>
      </c>
      <c r="I66" s="13">
        <v>2347.4482943462317</v>
      </c>
      <c r="J66" s="13">
        <v>2530.1203127820381</v>
      </c>
      <c r="K66" s="13">
        <v>2694.7378085996111</v>
      </c>
      <c r="L66" s="7">
        <f>IFERROR((Definitivo[[#This Row],[2024]]-Definitivo[[#This Row],[2000]])/Definitivo[[#This Row],[2000]],0)</f>
        <v>5.0863613237003271</v>
      </c>
      <c r="M66" s="7">
        <f>IFERROR((Definitivo[[#This Row],[2024]]-Definitivo[[#This Row],[2022]])/Definitivo[[#This Row],[2022]],0)</f>
        <v>0.14794341374411404</v>
      </c>
    </row>
    <row r="67" spans="1:13" ht="18" x14ac:dyDescent="0.3">
      <c r="A67" s="17" t="s">
        <v>66</v>
      </c>
      <c r="B67" s="16" t="s">
        <v>52</v>
      </c>
      <c r="C67" s="16" t="s">
        <v>53</v>
      </c>
      <c r="D67" s="15" t="s">
        <v>16</v>
      </c>
      <c r="E67" s="15" t="s">
        <v>17</v>
      </c>
      <c r="F67" s="13">
        <v>62.749000000000002</v>
      </c>
      <c r="G67" s="13">
        <v>63.158000000000001</v>
      </c>
      <c r="H67" s="13">
        <v>63.649000000000001</v>
      </c>
      <c r="I67" s="13">
        <v>71.697999999999993</v>
      </c>
      <c r="J67" s="13">
        <v>72.003</v>
      </c>
      <c r="K67" s="13">
        <v>72.234999999999999</v>
      </c>
      <c r="L67" s="7">
        <f>IFERROR((Definitivo[[#This Row],[2024]]-Definitivo[[#This Row],[2000]])/Definitivo[[#This Row],[2000]],0)</f>
        <v>0.1511737238840459</v>
      </c>
      <c r="M67" s="7">
        <f>IFERROR((Definitivo[[#This Row],[2024]]-Definitivo[[#This Row],[2022]])/Definitivo[[#This Row],[2022]],0)</f>
        <v>7.4897486680242991E-3</v>
      </c>
    </row>
    <row r="68" spans="1:13" ht="18" x14ac:dyDescent="0.3">
      <c r="A68" s="17" t="s">
        <v>66</v>
      </c>
      <c r="B68" s="16" t="s">
        <v>52</v>
      </c>
      <c r="C68" s="16" t="s">
        <v>53</v>
      </c>
      <c r="D68" s="15" t="s">
        <v>18</v>
      </c>
      <c r="E68" s="15" t="s">
        <v>19</v>
      </c>
      <c r="F68" s="13">
        <v>111.2212</v>
      </c>
      <c r="G68" s="13">
        <v>110.5898</v>
      </c>
      <c r="H68" s="13">
        <v>115.67829999999999</v>
      </c>
      <c r="I68" s="13">
        <v>197.0061</v>
      </c>
      <c r="J68" s="13">
        <v>202.4992</v>
      </c>
      <c r="K68" s="13">
        <v>210.23580000000001</v>
      </c>
      <c r="L68" s="7">
        <f>IFERROR((Definitivo[[#This Row],[2024]]-Definitivo[[#This Row],[2000]])/Definitivo[[#This Row],[2000]],0)</f>
        <v>0.89024934095298391</v>
      </c>
      <c r="M68" s="7">
        <f>IFERROR((Definitivo[[#This Row],[2024]]-Definitivo[[#This Row],[2022]])/Definitivo[[#This Row],[2022]],0)</f>
        <v>6.7153758183122289E-2</v>
      </c>
    </row>
    <row r="69" spans="1:13" ht="18" x14ac:dyDescent="0.3">
      <c r="A69" s="17" t="s">
        <v>66</v>
      </c>
      <c r="B69" s="16" t="s">
        <v>52</v>
      </c>
      <c r="C69" s="16" t="s">
        <v>53</v>
      </c>
      <c r="D69" s="15" t="s">
        <v>20</v>
      </c>
      <c r="E69" s="15" t="s">
        <v>21</v>
      </c>
      <c r="F69" s="13">
        <v>95.089799999999997</v>
      </c>
      <c r="G69" s="13">
        <v>94.918400000000005</v>
      </c>
      <c r="H69" s="13">
        <v>97.737399999999994</v>
      </c>
      <c r="I69" s="13">
        <v>323.76229999999998</v>
      </c>
      <c r="J69" s="13">
        <v>332.68349999999998</v>
      </c>
      <c r="K69" s="13">
        <v>344.34789999999998</v>
      </c>
      <c r="L69" s="7">
        <f>IFERROR((Definitivo[[#This Row],[2024]]-Definitivo[[#This Row],[2000]])/Definitivo[[#This Row],[2000]],0)</f>
        <v>2.6212916632488446</v>
      </c>
      <c r="M69" s="7">
        <f>IFERROR((Definitivo[[#This Row],[2024]]-Definitivo[[#This Row],[2022]])/Definitivo[[#This Row],[2022]],0)</f>
        <v>6.3582449222778559E-2</v>
      </c>
    </row>
    <row r="70" spans="1:13" ht="18" x14ac:dyDescent="0.3">
      <c r="A70" s="17" t="s">
        <v>66</v>
      </c>
      <c r="B70" s="16" t="s">
        <v>52</v>
      </c>
      <c r="C70" s="16" t="s">
        <v>53</v>
      </c>
      <c r="D70" s="15" t="s">
        <v>22</v>
      </c>
      <c r="E70" s="15" t="s">
        <v>23</v>
      </c>
      <c r="F70" s="13">
        <v>71.3887</v>
      </c>
      <c r="G70" s="13">
        <v>73.898399999999995</v>
      </c>
      <c r="H70" s="13">
        <v>79.634600000000006</v>
      </c>
      <c r="I70" s="13">
        <v>220.31649999999999</v>
      </c>
      <c r="J70" s="13">
        <v>246.10290000000001</v>
      </c>
      <c r="K70" s="13">
        <v>258.47800000000001</v>
      </c>
      <c r="L70" s="7">
        <f>IFERROR((Definitivo[[#This Row],[2024]]-Definitivo[[#This Row],[2000]])/Definitivo[[#This Row],[2000]],0)</f>
        <v>2.6207130820423963</v>
      </c>
      <c r="M70" s="7">
        <f>IFERROR((Definitivo[[#This Row],[2024]]-Definitivo[[#This Row],[2022]])/Definitivo[[#This Row],[2022]],0)</f>
        <v>0.17321217430378577</v>
      </c>
    </row>
    <row r="71" spans="1:13" ht="18" x14ac:dyDescent="0.3">
      <c r="A71" s="17" t="s">
        <v>66</v>
      </c>
      <c r="B71" s="16" t="s">
        <v>52</v>
      </c>
      <c r="C71" s="16" t="s">
        <v>53</v>
      </c>
      <c r="D71" s="15" t="s">
        <v>24</v>
      </c>
      <c r="E71" s="15" t="s">
        <v>25</v>
      </c>
      <c r="F71" s="13">
        <v>16.884799999999998</v>
      </c>
      <c r="G71" s="13">
        <v>17.426300000000001</v>
      </c>
      <c r="H71" s="13">
        <v>16.0441</v>
      </c>
      <c r="I71" s="13">
        <v>30.768999999999998</v>
      </c>
      <c r="J71" s="13">
        <v>31.920999999999999</v>
      </c>
      <c r="K71" s="13">
        <v>32.791499999999999</v>
      </c>
      <c r="L71" s="7">
        <f>IFERROR((Definitivo[[#This Row],[2024]]-Definitivo[[#This Row],[2000]])/Definitivo[[#This Row],[2000]],0)</f>
        <v>0.9420721595754763</v>
      </c>
      <c r="M71" s="7">
        <f>IFERROR((Definitivo[[#This Row],[2024]]-Definitivo[[#This Row],[2022]])/Definitivo[[#This Row],[2022]],0)</f>
        <v>6.5731742988072439E-2</v>
      </c>
    </row>
    <row r="72" spans="1:13" ht="18" x14ac:dyDescent="0.3">
      <c r="A72" s="17" t="s">
        <v>66</v>
      </c>
      <c r="B72" s="16" t="s">
        <v>52</v>
      </c>
      <c r="C72" s="16" t="s">
        <v>53</v>
      </c>
      <c r="D72" s="15" t="s">
        <v>28</v>
      </c>
      <c r="E72" s="15" t="s">
        <v>29</v>
      </c>
      <c r="F72" s="13">
        <v>996.89089999999999</v>
      </c>
      <c r="G72" s="13">
        <v>1012.998</v>
      </c>
      <c r="H72" s="13">
        <v>1051.0845999999999</v>
      </c>
      <c r="I72" s="13">
        <v>2807.0805</v>
      </c>
      <c r="J72" s="13">
        <v>3014.5225999999998</v>
      </c>
      <c r="K72" s="13">
        <v>3153.8290999999999</v>
      </c>
      <c r="L72" s="7">
        <f>IFERROR((Definitivo[[#This Row],[2024]]-Definitivo[[#This Row],[2000]])/Definitivo[[#This Row],[2000]],0)</f>
        <v>2.163665251633855</v>
      </c>
      <c r="M72" s="7">
        <f>IFERROR((Definitivo[[#This Row],[2024]]-Definitivo[[#This Row],[2022]])/Definitivo[[#This Row],[2022]],0)</f>
        <v>0.12352641828404988</v>
      </c>
    </row>
    <row r="73" spans="1:13" ht="18" x14ac:dyDescent="0.3">
      <c r="A73" s="17" t="s">
        <v>66</v>
      </c>
      <c r="B73" s="16" t="s">
        <v>52</v>
      </c>
      <c r="C73" s="16" t="s">
        <v>53</v>
      </c>
      <c r="D73" s="15" t="s">
        <v>30</v>
      </c>
      <c r="E73" s="15" t="s">
        <v>31</v>
      </c>
      <c r="F73" s="13">
        <v>21000000</v>
      </c>
      <c r="G73" s="13">
        <v>2000000</v>
      </c>
      <c r="H73" s="13">
        <v>0</v>
      </c>
      <c r="I73" s="13">
        <v>7000000</v>
      </c>
      <c r="J73" s="13">
        <v>41000000</v>
      </c>
      <c r="K73" s="13">
        <v>25000000</v>
      </c>
      <c r="L73" s="7">
        <f>IFERROR((Definitivo[[#This Row],[2024]]-Definitivo[[#This Row],[2000]])/Definitivo[[#This Row],[2000]],0)</f>
        <v>0.19047619047619047</v>
      </c>
      <c r="M73" s="7">
        <f>IFERROR((Definitivo[[#This Row],[2024]]-Definitivo[[#This Row],[2022]])/Definitivo[[#This Row],[2022]],0)</f>
        <v>2.5714285714285716</v>
      </c>
    </row>
    <row r="74" spans="1:13" ht="18" x14ac:dyDescent="0.3">
      <c r="A74" s="17" t="s">
        <v>66</v>
      </c>
      <c r="B74" s="16" t="s">
        <v>52</v>
      </c>
      <c r="C74" s="16" t="s">
        <v>53</v>
      </c>
      <c r="D74" s="15" t="s">
        <v>32</v>
      </c>
      <c r="E74" s="15" t="s">
        <v>33</v>
      </c>
      <c r="F74" s="13">
        <v>987000000</v>
      </c>
      <c r="G74" s="13">
        <v>1184000000</v>
      </c>
      <c r="H74" s="13">
        <v>2001000000</v>
      </c>
      <c r="I74" s="13">
        <v>2629000000</v>
      </c>
      <c r="J74" s="13">
        <v>1491000000</v>
      </c>
      <c r="K74" s="13">
        <v>1168000000</v>
      </c>
      <c r="L74" s="7">
        <f>IFERROR((Definitivo[[#This Row],[2024]]-Definitivo[[#This Row],[2000]])/Definitivo[[#This Row],[2000]],0)</f>
        <v>0.1833839918946302</v>
      </c>
      <c r="M74" s="7">
        <f>IFERROR((Definitivo[[#This Row],[2024]]-Definitivo[[#This Row],[2022]])/Definitivo[[#This Row],[2022]],0)</f>
        <v>-0.55572461011791552</v>
      </c>
    </row>
    <row r="75" spans="1:13" ht="18" x14ac:dyDescent="0.3">
      <c r="A75" s="17" t="s">
        <v>66</v>
      </c>
      <c r="B75" s="16" t="s">
        <v>52</v>
      </c>
      <c r="C75" s="16" t="s">
        <v>53</v>
      </c>
      <c r="D75" s="15" t="s">
        <v>34</v>
      </c>
      <c r="E75" s="15" t="s">
        <v>35</v>
      </c>
      <c r="F75" s="13">
        <v>642103750000</v>
      </c>
      <c r="G75" s="13">
        <v>688951750000</v>
      </c>
      <c r="H75" s="13">
        <v>716985750000</v>
      </c>
      <c r="I75" s="13">
        <v>6279477825000</v>
      </c>
      <c r="J75" s="13">
        <v>6794795850000</v>
      </c>
      <c r="K75" s="13">
        <v>7206582450000</v>
      </c>
      <c r="L75" s="7">
        <f>IFERROR((Definitivo[[#This Row],[2024]]-Definitivo[[#This Row],[2000]])/Definitivo[[#This Row],[2000]],0)</f>
        <v>10.223392559224269</v>
      </c>
      <c r="M75" s="7">
        <f>IFERROR((Definitivo[[#This Row],[2024]]-Definitivo[[#This Row],[2022]])/Definitivo[[#This Row],[2022]],0)</f>
        <v>0.14764040113478702</v>
      </c>
    </row>
    <row r="76" spans="1:13" ht="18" x14ac:dyDescent="0.3">
      <c r="A76" s="17" t="s">
        <v>66</v>
      </c>
      <c r="B76" s="16" t="s">
        <v>52</v>
      </c>
      <c r="C76" s="16" t="s">
        <v>53</v>
      </c>
      <c r="D76" s="15" t="s">
        <v>36</v>
      </c>
      <c r="E76" s="15" t="s">
        <v>37</v>
      </c>
      <c r="F76" s="13">
        <v>84.216899999999995</v>
      </c>
      <c r="G76" s="13">
        <v>85.887100000000004</v>
      </c>
      <c r="H76" s="13">
        <v>87.747500000000002</v>
      </c>
      <c r="I76" s="13">
        <v>129.8785</v>
      </c>
      <c r="J76" s="13">
        <v>133.01730000000001</v>
      </c>
      <c r="K76" s="13">
        <v>135.22800000000001</v>
      </c>
      <c r="L76" s="7">
        <f>IFERROR((Definitivo[[#This Row],[2024]]-Definitivo[[#This Row],[2000]])/Definitivo[[#This Row],[2000]],0)</f>
        <v>0.60571096775112854</v>
      </c>
      <c r="M76" s="7">
        <f>IFERROR((Definitivo[[#This Row],[2024]]-Definitivo[[#This Row],[2022]])/Definitivo[[#This Row],[2022]],0)</f>
        <v>4.1188495401471424E-2</v>
      </c>
    </row>
    <row r="77" spans="1:13" ht="18" x14ac:dyDescent="0.3">
      <c r="A77" s="17" t="s">
        <v>66</v>
      </c>
      <c r="B77" s="16" t="s">
        <v>52</v>
      </c>
      <c r="C77" s="16" t="s">
        <v>53</v>
      </c>
      <c r="D77" s="15" t="s">
        <v>38</v>
      </c>
      <c r="E77" s="15" t="s">
        <v>39</v>
      </c>
      <c r="F77" s="13">
        <v>10.3241</v>
      </c>
      <c r="G77" s="13">
        <v>10.5832</v>
      </c>
      <c r="H77" s="13">
        <v>10.6252</v>
      </c>
      <c r="I77" s="13">
        <v>18.027999999999999</v>
      </c>
      <c r="J77" s="13">
        <v>18.475899999999999</v>
      </c>
      <c r="K77" s="13">
        <v>18.934899999999999</v>
      </c>
      <c r="L77" s="7">
        <f>IFERROR((Definitivo[[#This Row],[2024]]-Definitivo[[#This Row],[2000]])/Definitivo[[#This Row],[2000]],0)</f>
        <v>0.83404848848810065</v>
      </c>
      <c r="M77" s="7">
        <f>IFERROR((Definitivo[[#This Row],[2024]]-Definitivo[[#This Row],[2022]])/Definitivo[[#This Row],[2022]],0)</f>
        <v>5.0305080985134254E-2</v>
      </c>
    </row>
    <row r="78" spans="1:13" ht="18" x14ac:dyDescent="0.3">
      <c r="A78" s="17" t="s">
        <v>147</v>
      </c>
      <c r="B78" s="16" t="s">
        <v>54</v>
      </c>
      <c r="C78" s="16" t="s">
        <v>55</v>
      </c>
      <c r="D78" s="15" t="s">
        <v>12</v>
      </c>
      <c r="E78" s="15" t="s">
        <v>13</v>
      </c>
      <c r="F78" s="13">
        <v>751.80126303445286</v>
      </c>
      <c r="G78" s="13">
        <v>719.21588603833641</v>
      </c>
      <c r="H78" s="13">
        <v>684.99839699215784</v>
      </c>
      <c r="I78" s="13">
        <v>1850.9174305476922</v>
      </c>
      <c r="J78" s="13">
        <v>1682.7505884547566</v>
      </c>
      <c r="K78" s="13">
        <v>1527.9580951403666</v>
      </c>
      <c r="L78" s="7">
        <f>IFERROR((Definitivo[[#This Row],[2024]]-Definitivo[[#This Row],[2000]])/Definitivo[[#This Row],[2000]],0)</f>
        <v>1.0323962864509644</v>
      </c>
      <c r="M78" s="7">
        <f>IFERROR((Definitivo[[#This Row],[2024]]-Definitivo[[#This Row],[2022]])/Definitivo[[#This Row],[2022]],0)</f>
        <v>-0.1744860846179189</v>
      </c>
    </row>
    <row r="79" spans="1:13" ht="18" x14ac:dyDescent="0.3">
      <c r="A79" s="17" t="s">
        <v>147</v>
      </c>
      <c r="B79" s="16" t="s">
        <v>54</v>
      </c>
      <c r="C79" s="16" t="s">
        <v>55</v>
      </c>
      <c r="D79" s="15" t="s">
        <v>16</v>
      </c>
      <c r="E79" s="15" t="s">
        <v>17</v>
      </c>
      <c r="F79" s="13">
        <v>55.48842498472969</v>
      </c>
      <c r="G79" s="13">
        <v>55.721269301054939</v>
      </c>
      <c r="H79" s="13">
        <v>56.150856610411267</v>
      </c>
      <c r="I79" s="13">
        <v>62.702271566253962</v>
      </c>
      <c r="J79" s="13">
        <v>63.34994477710751</v>
      </c>
      <c r="K79" s="13">
        <v>63.6048412656707</v>
      </c>
      <c r="L79" s="7">
        <f>IFERROR((Definitivo[[#This Row],[2024]]-Definitivo[[#This Row],[2000]])/Definitivo[[#This Row],[2000]],0)</f>
        <v>0.14627224115974877</v>
      </c>
      <c r="M79" s="7">
        <f>IFERROR((Definitivo[[#This Row],[2024]]-Definitivo[[#This Row],[2022]])/Definitivo[[#This Row],[2022]],0)</f>
        <v>1.4394529526143928E-2</v>
      </c>
    </row>
    <row r="80" spans="1:13" ht="18" x14ac:dyDescent="0.3">
      <c r="A80" s="17" t="s">
        <v>147</v>
      </c>
      <c r="B80" s="16" t="s">
        <v>54</v>
      </c>
      <c r="C80" s="16" t="s">
        <v>55</v>
      </c>
      <c r="D80" s="15" t="s">
        <v>18</v>
      </c>
      <c r="E80" s="15" t="s">
        <v>19</v>
      </c>
      <c r="F80" s="13">
        <v>87.235000000000014</v>
      </c>
      <c r="G80" s="13">
        <v>88.253599999999992</v>
      </c>
      <c r="H80" s="13">
        <v>88.072900000000004</v>
      </c>
      <c r="I80" s="13">
        <v>53.152200000000008</v>
      </c>
      <c r="J80" s="13">
        <v>53.896299999999997</v>
      </c>
      <c r="K80" s="13">
        <v>55.4831</v>
      </c>
      <c r="L80" s="7">
        <f>IFERROR((Definitivo[[#This Row],[2024]]-Definitivo[[#This Row],[2000]])/Definitivo[[#This Row],[2000]],0)</f>
        <v>-0.36398120020633928</v>
      </c>
      <c r="M80" s="7">
        <f>IFERROR((Definitivo[[#This Row],[2024]]-Definitivo[[#This Row],[2022]])/Definitivo[[#This Row],[2022]],0)</f>
        <v>4.3853311810235371E-2</v>
      </c>
    </row>
    <row r="81" spans="1:13" ht="18" x14ac:dyDescent="0.3">
      <c r="A81" s="17" t="s">
        <v>147</v>
      </c>
      <c r="B81" s="16" t="s">
        <v>54</v>
      </c>
      <c r="C81" s="16" t="s">
        <v>55</v>
      </c>
      <c r="D81" s="15" t="s">
        <v>20</v>
      </c>
      <c r="E81" s="15" t="s">
        <v>21</v>
      </c>
      <c r="F81" s="13">
        <v>154.88419999999999</v>
      </c>
      <c r="G81" s="13">
        <v>166.79750000000007</v>
      </c>
      <c r="H81" s="13">
        <v>171.95949999999999</v>
      </c>
      <c r="I81" s="13">
        <v>238.27489999999997</v>
      </c>
      <c r="J81" s="13">
        <v>244.7627</v>
      </c>
      <c r="K81" s="13">
        <v>249.8673</v>
      </c>
      <c r="L81" s="7">
        <f>IFERROR((Definitivo[[#This Row],[2024]]-Definitivo[[#This Row],[2000]])/Definitivo[[#This Row],[2000]],0)</f>
        <v>0.61325235240263376</v>
      </c>
      <c r="M81" s="7">
        <f>IFERROR((Definitivo[[#This Row],[2024]]-Definitivo[[#This Row],[2022]])/Definitivo[[#This Row],[2022]],0)</f>
        <v>4.8651368650244012E-2</v>
      </c>
    </row>
    <row r="82" spans="1:13" ht="18" x14ac:dyDescent="0.3">
      <c r="A82" s="17" t="s">
        <v>147</v>
      </c>
      <c r="B82" s="16" t="s">
        <v>54</v>
      </c>
      <c r="C82" s="16" t="s">
        <v>55</v>
      </c>
      <c r="D82" s="15" t="s">
        <v>22</v>
      </c>
      <c r="E82" s="15" t="s">
        <v>23</v>
      </c>
      <c r="F82" s="13">
        <v>53.158100000000005</v>
      </c>
      <c r="G82" s="13">
        <v>58.991100000000003</v>
      </c>
      <c r="H82" s="13">
        <v>59.615200000000016</v>
      </c>
      <c r="I82" s="13">
        <v>73.614899999999963</v>
      </c>
      <c r="J82" s="13">
        <v>73.330799999999982</v>
      </c>
      <c r="K82" s="13">
        <v>74.61839999999998</v>
      </c>
      <c r="L82" s="7">
        <f>IFERROR((Definitivo[[#This Row],[2024]]-Definitivo[[#This Row],[2000]])/Definitivo[[#This Row],[2000]],0)</f>
        <v>0.40370705499255943</v>
      </c>
      <c r="M82" s="7">
        <f>IFERROR((Definitivo[[#This Row],[2024]]-Definitivo[[#This Row],[2022]])/Definitivo[[#This Row],[2022]],0)</f>
        <v>1.363175118080738E-2</v>
      </c>
    </row>
    <row r="83" spans="1:13" ht="18" x14ac:dyDescent="0.3">
      <c r="A83" s="17" t="s">
        <v>147</v>
      </c>
      <c r="B83" s="16" t="s">
        <v>54</v>
      </c>
      <c r="C83" s="16" t="s">
        <v>55</v>
      </c>
      <c r="D83" s="15" t="s">
        <v>24</v>
      </c>
      <c r="E83" s="15" t="s">
        <v>25</v>
      </c>
      <c r="F83" s="13">
        <v>3.0589999999999988</v>
      </c>
      <c r="G83" s="13">
        <v>3.0448999999999997</v>
      </c>
      <c r="H83" s="13">
        <v>3.0787999999999998</v>
      </c>
      <c r="I83" s="13">
        <v>4.6917999999999997</v>
      </c>
      <c r="J83" s="13">
        <v>4.7733999999999996</v>
      </c>
      <c r="K83" s="13">
        <v>4.9564999999999992</v>
      </c>
      <c r="L83" s="7">
        <f>IFERROR((Definitivo[[#This Row],[2024]]-Definitivo[[#This Row],[2000]])/Definitivo[[#This Row],[2000]],0)</f>
        <v>0.62030075187969957</v>
      </c>
      <c r="M83" s="7">
        <f>IFERROR((Definitivo[[#This Row],[2024]]-Definitivo[[#This Row],[2022]])/Definitivo[[#This Row],[2022]],0)</f>
        <v>5.6417579606973765E-2</v>
      </c>
    </row>
    <row r="84" spans="1:13" ht="18" x14ac:dyDescent="0.3">
      <c r="A84" s="17" t="s">
        <v>147</v>
      </c>
      <c r="B84" s="16" t="s">
        <v>54</v>
      </c>
      <c r="C84" s="16" t="s">
        <v>55</v>
      </c>
      <c r="D84" s="15" t="s">
        <v>26</v>
      </c>
      <c r="E84" s="15" t="s">
        <v>27</v>
      </c>
      <c r="F84" s="13">
        <v>8.0500000000000002E-2</v>
      </c>
      <c r="G84" s="13">
        <v>8.5199999999999998E-2</v>
      </c>
      <c r="H84" s="13">
        <v>8.900000000000001E-2</v>
      </c>
      <c r="I84" s="13">
        <v>8.4699999999999998E-2</v>
      </c>
      <c r="J84" s="13">
        <v>8.610000000000001E-2</v>
      </c>
      <c r="K84" s="13">
        <v>8.7600000000000011E-2</v>
      </c>
      <c r="L84" s="7">
        <f>IFERROR((Definitivo[[#This Row],[2024]]-Definitivo[[#This Row],[2000]])/Definitivo[[#This Row],[2000]],0)</f>
        <v>8.8198757763975261E-2</v>
      </c>
      <c r="M84" s="7">
        <f>IFERROR((Definitivo[[#This Row],[2024]]-Definitivo[[#This Row],[2022]])/Definitivo[[#This Row],[2022]],0)</f>
        <v>3.4238488783943491E-2</v>
      </c>
    </row>
    <row r="85" spans="1:13" ht="18" x14ac:dyDescent="0.3">
      <c r="A85" s="17" t="s">
        <v>147</v>
      </c>
      <c r="B85" s="16" t="s">
        <v>54</v>
      </c>
      <c r="C85" s="16" t="s">
        <v>55</v>
      </c>
      <c r="D85" s="15" t="s">
        <v>28</v>
      </c>
      <c r="E85" s="15" t="s">
        <v>29</v>
      </c>
      <c r="F85" s="13">
        <v>873.31500000000017</v>
      </c>
      <c r="G85" s="13">
        <v>898.85860000000002</v>
      </c>
      <c r="H85" s="13">
        <v>889.22890000000007</v>
      </c>
      <c r="I85" s="13">
        <v>836.83139999999992</v>
      </c>
      <c r="J85" s="13">
        <v>857.41150000000016</v>
      </c>
      <c r="K85" s="13">
        <v>869.00419999999997</v>
      </c>
      <c r="L85" s="7">
        <f>IFERROR((Definitivo[[#This Row],[2024]]-Definitivo[[#This Row],[2000]])/Definitivo[[#This Row],[2000]],0)</f>
        <v>-4.9361341554882239E-3</v>
      </c>
      <c r="M85" s="7">
        <f>IFERROR((Definitivo[[#This Row],[2024]]-Definitivo[[#This Row],[2022]])/Definitivo[[#This Row],[2022]],0)</f>
        <v>3.844597609506533E-2</v>
      </c>
    </row>
    <row r="86" spans="1:13" ht="18" x14ac:dyDescent="0.3">
      <c r="A86" s="17" t="s">
        <v>147</v>
      </c>
      <c r="B86" s="16" t="s">
        <v>54</v>
      </c>
      <c r="C86" s="16" t="s">
        <v>55</v>
      </c>
      <c r="D86" s="15" t="s">
        <v>36</v>
      </c>
      <c r="E86" s="15" t="s">
        <v>37</v>
      </c>
      <c r="F86" s="13">
        <v>72.437399999999982</v>
      </c>
      <c r="G86" s="13">
        <v>74.69319999999999</v>
      </c>
      <c r="H86" s="13">
        <v>76.685200000000009</v>
      </c>
      <c r="I86" s="13">
        <v>137.61319999999998</v>
      </c>
      <c r="J86" s="13">
        <v>140.37110000000001</v>
      </c>
      <c r="K86" s="13">
        <v>143.26309999999998</v>
      </c>
      <c r="L86" s="7">
        <f>IFERROR((Definitivo[[#This Row],[2024]]-Definitivo[[#This Row],[2000]])/Definitivo[[#This Row],[2000]],0)</f>
        <v>0.97775044383150156</v>
      </c>
      <c r="M86" s="7">
        <f>IFERROR((Definitivo[[#This Row],[2024]]-Definitivo[[#This Row],[2022]])/Definitivo[[#This Row],[2022]],0)</f>
        <v>4.1056381219243529E-2</v>
      </c>
    </row>
    <row r="87" spans="1:13" ht="18" x14ac:dyDescent="0.3">
      <c r="A87" s="17" t="s">
        <v>147</v>
      </c>
      <c r="B87" s="16" t="s">
        <v>54</v>
      </c>
      <c r="C87" s="16" t="s">
        <v>55</v>
      </c>
      <c r="D87" s="15" t="s">
        <v>38</v>
      </c>
      <c r="E87" s="15" t="s">
        <v>39</v>
      </c>
      <c r="F87" s="13">
        <v>5.2944999999999993</v>
      </c>
      <c r="G87" s="13">
        <v>5.9355999999999982</v>
      </c>
      <c r="H87" s="13">
        <v>6.1419000000000015</v>
      </c>
      <c r="I87" s="13">
        <v>10.981800000000002</v>
      </c>
      <c r="J87" s="13">
        <v>11.163599999999999</v>
      </c>
      <c r="K87" s="13">
        <v>11.351999999999997</v>
      </c>
      <c r="L87" s="7">
        <f>IFERROR((Definitivo[[#This Row],[2024]]-Definitivo[[#This Row],[2000]])/Definitivo[[#This Row],[2000]],0)</f>
        <v>1.1441118141467557</v>
      </c>
      <c r="M87" s="7">
        <f>IFERROR((Definitivo[[#This Row],[2024]]-Definitivo[[#This Row],[2022]])/Definitivo[[#This Row],[2022]],0)</f>
        <v>3.3710320712451065E-2</v>
      </c>
    </row>
    <row r="88" spans="1:13" ht="18" x14ac:dyDescent="0.3">
      <c r="A88" s="17" t="s">
        <v>66</v>
      </c>
      <c r="B88" s="16" t="s">
        <v>60</v>
      </c>
      <c r="C88" s="16" t="s">
        <v>61</v>
      </c>
      <c r="D88" s="15" t="s">
        <v>12</v>
      </c>
      <c r="E88" s="15" t="s">
        <v>13</v>
      </c>
      <c r="F88" s="13">
        <v>2213.8123505317794</v>
      </c>
      <c r="G88" s="13">
        <v>3033.9323450703646</v>
      </c>
      <c r="H88" s="13">
        <v>3076.0700716010097</v>
      </c>
      <c r="I88" s="13">
        <v>11786.019149298254</v>
      </c>
      <c r="J88" s="13">
        <v>12587.612603865125</v>
      </c>
      <c r="K88" s="13">
        <v>13379.351357722368</v>
      </c>
      <c r="L88" s="7">
        <f>IFERROR((Definitivo[[#This Row],[2024]]-Definitivo[[#This Row],[2000]])/Definitivo[[#This Row],[2000]],0)</f>
        <v>5.0435796893573732</v>
      </c>
      <c r="M88" s="7">
        <f>IFERROR((Definitivo[[#This Row],[2024]]-Definitivo[[#This Row],[2022]])/Definitivo[[#This Row],[2022]],0)</f>
        <v>0.13518832679980683</v>
      </c>
    </row>
    <row r="89" spans="1:13" ht="18" x14ac:dyDescent="0.3">
      <c r="A89" s="17" t="s">
        <v>66</v>
      </c>
      <c r="B89" s="16" t="s">
        <v>60</v>
      </c>
      <c r="C89" s="16" t="s">
        <v>61</v>
      </c>
      <c r="D89" s="15" t="s">
        <v>16</v>
      </c>
      <c r="E89" s="15" t="s">
        <v>17</v>
      </c>
      <c r="F89" s="13">
        <v>70.891999999999996</v>
      </c>
      <c r="G89" s="13">
        <v>71.659000000000006</v>
      </c>
      <c r="H89" s="13">
        <v>72.36</v>
      </c>
      <c r="I89" s="13">
        <v>80.760000000000005</v>
      </c>
      <c r="J89" s="13">
        <v>81.040999999999997</v>
      </c>
      <c r="K89" s="13">
        <v>81.284999999999997</v>
      </c>
      <c r="L89" s="7">
        <f>IFERROR((Definitivo[[#This Row],[2024]]-Definitivo[[#This Row],[2000]])/Definitivo[[#This Row],[2000]],0)</f>
        <v>0.14660328386841959</v>
      </c>
      <c r="M89" s="7">
        <f>IFERROR((Definitivo[[#This Row],[2024]]-Definitivo[[#This Row],[2022]])/Definitivo[[#This Row],[2022]],0)</f>
        <v>6.5007429420504137E-3</v>
      </c>
    </row>
    <row r="90" spans="1:13" ht="18" x14ac:dyDescent="0.3">
      <c r="A90" s="17" t="s">
        <v>66</v>
      </c>
      <c r="B90" s="16" t="s">
        <v>60</v>
      </c>
      <c r="C90" s="16" t="s">
        <v>61</v>
      </c>
      <c r="D90" s="15" t="s">
        <v>18</v>
      </c>
      <c r="E90" s="15" t="s">
        <v>19</v>
      </c>
      <c r="F90" s="13">
        <v>4.07E-2</v>
      </c>
      <c r="G90" s="13">
        <v>3.8899999999999997E-2</v>
      </c>
      <c r="H90" s="13">
        <v>4.2299999999999997E-2</v>
      </c>
      <c r="I90" s="13">
        <v>0.24460000000000001</v>
      </c>
      <c r="J90" s="13">
        <v>0.24340000000000001</v>
      </c>
      <c r="K90" s="13">
        <v>0.2545</v>
      </c>
      <c r="L90" s="7">
        <f>IFERROR((Definitivo[[#This Row],[2024]]-Definitivo[[#This Row],[2000]])/Definitivo[[#This Row],[2000]],0)</f>
        <v>5.2530712530712531</v>
      </c>
      <c r="M90" s="7">
        <f>IFERROR((Definitivo[[#This Row],[2024]]-Definitivo[[#This Row],[2022]])/Definitivo[[#This Row],[2022]],0)</f>
        <v>4.0474243663123431E-2</v>
      </c>
    </row>
    <row r="91" spans="1:13" ht="18" x14ac:dyDescent="0.3">
      <c r="A91" s="17" t="s">
        <v>66</v>
      </c>
      <c r="B91" s="16" t="s">
        <v>60</v>
      </c>
      <c r="C91" s="16" t="s">
        <v>61</v>
      </c>
      <c r="D91" s="15" t="s">
        <v>20</v>
      </c>
      <c r="E91" s="15" t="s">
        <v>21</v>
      </c>
      <c r="F91" s="13">
        <v>0.26040000000000002</v>
      </c>
      <c r="G91" s="13">
        <v>0.22520000000000001</v>
      </c>
      <c r="H91" s="13">
        <v>0.25740000000000002</v>
      </c>
      <c r="I91" s="13">
        <v>0.90159999999999996</v>
      </c>
      <c r="J91" s="13">
        <v>0.91069999999999995</v>
      </c>
      <c r="K91" s="13">
        <v>0.95909999999999995</v>
      </c>
      <c r="L91" s="7">
        <f>IFERROR((Definitivo[[#This Row],[2024]]-Definitivo[[#This Row],[2000]])/Definitivo[[#This Row],[2000]],0)</f>
        <v>2.6831797235023034</v>
      </c>
      <c r="M91" s="7">
        <f>IFERROR((Definitivo[[#This Row],[2024]]-Definitivo[[#This Row],[2022]])/Definitivo[[#This Row],[2022]],0)</f>
        <v>6.3775510204081634E-2</v>
      </c>
    </row>
    <row r="92" spans="1:13" ht="18" x14ac:dyDescent="0.3">
      <c r="A92" s="17" t="s">
        <v>66</v>
      </c>
      <c r="B92" s="16" t="s">
        <v>60</v>
      </c>
      <c r="C92" s="16" t="s">
        <v>61</v>
      </c>
      <c r="D92" s="15" t="s">
        <v>22</v>
      </c>
      <c r="E92" s="15" t="s">
        <v>23</v>
      </c>
      <c r="F92" s="13">
        <v>1.6999999999999999E-3</v>
      </c>
      <c r="G92" s="13">
        <v>1.5E-3</v>
      </c>
      <c r="H92" s="13">
        <v>1.6999999999999999E-3</v>
      </c>
      <c r="I92" s="13">
        <v>4.5999999999999999E-3</v>
      </c>
      <c r="J92" s="13">
        <v>4.3E-3</v>
      </c>
      <c r="K92" s="13">
        <v>4.0000000000000001E-3</v>
      </c>
      <c r="L92" s="7">
        <f>IFERROR((Definitivo[[#This Row],[2024]]-Definitivo[[#This Row],[2000]])/Definitivo[[#This Row],[2000]],0)</f>
        <v>1.3529411764705883</v>
      </c>
      <c r="M92" s="7">
        <f>IFERROR((Definitivo[[#This Row],[2024]]-Definitivo[[#This Row],[2022]])/Definitivo[[#This Row],[2022]],0)</f>
        <v>-0.13043478260869562</v>
      </c>
    </row>
    <row r="93" spans="1:13" ht="18" x14ac:dyDescent="0.3">
      <c r="A93" s="17" t="s">
        <v>66</v>
      </c>
      <c r="B93" s="16" t="s">
        <v>60</v>
      </c>
      <c r="C93" s="16" t="s">
        <v>61</v>
      </c>
      <c r="D93" s="15" t="s">
        <v>26</v>
      </c>
      <c r="E93" s="15" t="s">
        <v>27</v>
      </c>
      <c r="F93" s="13">
        <v>1.2999999999999999E-3</v>
      </c>
      <c r="G93" s="13">
        <v>1.4E-3</v>
      </c>
      <c r="H93" s="13">
        <v>1.5E-3</v>
      </c>
      <c r="I93" s="13">
        <v>3.7000000000000002E-3</v>
      </c>
      <c r="J93" s="13">
        <v>3.8E-3</v>
      </c>
      <c r="K93" s="13">
        <v>3.8999999999999998E-3</v>
      </c>
      <c r="L93" s="7">
        <f>IFERROR((Definitivo[[#This Row],[2024]]-Definitivo[[#This Row],[2000]])/Definitivo[[#This Row],[2000]],0)</f>
        <v>2</v>
      </c>
      <c r="M93" s="7">
        <f>IFERROR((Definitivo[[#This Row],[2024]]-Definitivo[[#This Row],[2022]])/Definitivo[[#This Row],[2022]],0)</f>
        <v>5.405405405405396E-2</v>
      </c>
    </row>
    <row r="94" spans="1:13" ht="18" x14ac:dyDescent="0.3">
      <c r="A94" s="17" t="s">
        <v>66</v>
      </c>
      <c r="B94" s="16" t="s">
        <v>60</v>
      </c>
      <c r="C94" s="16" t="s">
        <v>61</v>
      </c>
      <c r="D94" s="15" t="s">
        <v>28</v>
      </c>
      <c r="E94" s="15" t="s">
        <v>29</v>
      </c>
      <c r="F94" s="13">
        <v>0.62780000000000002</v>
      </c>
      <c r="G94" s="13">
        <v>0.55469999999999997</v>
      </c>
      <c r="H94" s="13">
        <v>0.67210000000000003</v>
      </c>
      <c r="I94" s="13">
        <v>1.7895000000000001</v>
      </c>
      <c r="J94" s="13">
        <v>1.7942</v>
      </c>
      <c r="K94" s="13">
        <v>1.8824000000000001</v>
      </c>
      <c r="L94" s="7">
        <f>IFERROR((Definitivo[[#This Row],[2024]]-Definitivo[[#This Row],[2000]])/Definitivo[[#This Row],[2000]],0)</f>
        <v>1.9984071360305828</v>
      </c>
      <c r="M94" s="7">
        <f>IFERROR((Definitivo[[#This Row],[2024]]-Definitivo[[#This Row],[2022]])/Definitivo[[#This Row],[2022]],0)</f>
        <v>5.1913942442022902E-2</v>
      </c>
    </row>
    <row r="95" spans="1:13" ht="18" x14ac:dyDescent="0.3">
      <c r="A95" s="17" t="s">
        <v>66</v>
      </c>
      <c r="B95" s="16" t="s">
        <v>60</v>
      </c>
      <c r="C95" s="16" t="s">
        <v>61</v>
      </c>
      <c r="D95" s="15" t="s">
        <v>36</v>
      </c>
      <c r="E95" s="15" t="s">
        <v>37</v>
      </c>
      <c r="F95" s="13">
        <v>4.2599999999999999E-2</v>
      </c>
      <c r="G95" s="13">
        <v>4.5100000000000001E-2</v>
      </c>
      <c r="H95" s="13">
        <v>4.87E-2</v>
      </c>
      <c r="I95" s="13">
        <v>0.14899999999999999</v>
      </c>
      <c r="J95" s="13">
        <v>0.1537</v>
      </c>
      <c r="K95" s="13">
        <v>0.1585</v>
      </c>
      <c r="L95" s="7">
        <f>IFERROR((Definitivo[[#This Row],[2024]]-Definitivo[[#This Row],[2000]])/Definitivo[[#This Row],[2000]],0)</f>
        <v>2.7206572769953055</v>
      </c>
      <c r="M95" s="7">
        <f>IFERROR((Definitivo[[#This Row],[2024]]-Definitivo[[#This Row],[2022]])/Definitivo[[#This Row],[2022]],0)</f>
        <v>6.3758389261745027E-2</v>
      </c>
    </row>
    <row r="96" spans="1:13" ht="18" x14ac:dyDescent="0.3">
      <c r="A96" s="17" t="s">
        <v>66</v>
      </c>
      <c r="B96" s="16" t="s">
        <v>60</v>
      </c>
      <c r="C96" s="16" t="s">
        <v>61</v>
      </c>
      <c r="D96" s="15" t="s">
        <v>38</v>
      </c>
      <c r="E96" s="15" t="s">
        <v>39</v>
      </c>
      <c r="F96" s="13">
        <v>5.1000000000000004E-3</v>
      </c>
      <c r="G96" s="13">
        <v>5.1999999999999998E-3</v>
      </c>
      <c r="H96" s="13">
        <v>5.1999999999999998E-3</v>
      </c>
      <c r="I96" s="13">
        <v>8.6999999999999994E-3</v>
      </c>
      <c r="J96" s="13">
        <v>8.8000000000000005E-3</v>
      </c>
      <c r="K96" s="13">
        <v>8.8000000000000005E-3</v>
      </c>
      <c r="L96" s="7">
        <f>IFERROR((Definitivo[[#This Row],[2024]]-Definitivo[[#This Row],[2000]])/Definitivo[[#This Row],[2000]],0)</f>
        <v>0.72549019607843135</v>
      </c>
      <c r="M96" s="7">
        <f>IFERROR((Definitivo[[#This Row],[2024]]-Definitivo[[#This Row],[2022]])/Definitivo[[#This Row],[2022]],0)</f>
        <v>1.1494252873563348E-2</v>
      </c>
    </row>
    <row r="97" spans="1:13" ht="18" x14ac:dyDescent="0.3">
      <c r="A97" s="17" t="s">
        <v>68</v>
      </c>
      <c r="B97" s="16" t="s">
        <v>50</v>
      </c>
      <c r="C97" s="16" t="s">
        <v>51</v>
      </c>
      <c r="D97" s="15" t="s">
        <v>12</v>
      </c>
      <c r="E97" s="15" t="s">
        <v>13</v>
      </c>
      <c r="F97" s="13">
        <v>3217.8469344846712</v>
      </c>
      <c r="G97" s="13">
        <v>2847.1519194590805</v>
      </c>
      <c r="H97" s="13">
        <v>2688.2367603280636</v>
      </c>
      <c r="I97" s="13">
        <v>6534.2486778339689</v>
      </c>
      <c r="J97" s="13">
        <v>6034.2720896467317</v>
      </c>
      <c r="K97" s="13">
        <v>6267.1868140930046</v>
      </c>
      <c r="L97" s="7">
        <f>IFERROR((Definitivo[[#This Row],[2024]]-Definitivo[[#This Row],[2000]])/Definitivo[[#This Row],[2000]],0)</f>
        <v>0.94763360150214115</v>
      </c>
      <c r="M97" s="7">
        <f>IFERROR((Definitivo[[#This Row],[2024]]-Definitivo[[#This Row],[2022]])/Definitivo[[#This Row],[2022]],0)</f>
        <v>-4.0871089685783492E-2</v>
      </c>
    </row>
    <row r="98" spans="1:13" ht="18" x14ac:dyDescent="0.3">
      <c r="A98" s="17" t="s">
        <v>68</v>
      </c>
      <c r="B98" s="16" t="s">
        <v>50</v>
      </c>
      <c r="C98" s="16" t="s">
        <v>51</v>
      </c>
      <c r="D98" s="15" t="s">
        <v>16</v>
      </c>
      <c r="E98" s="15" t="s">
        <v>17</v>
      </c>
      <c r="F98" s="13">
        <v>58.368000000000002</v>
      </c>
      <c r="G98" s="13">
        <v>57.161000000000001</v>
      </c>
      <c r="H98" s="13">
        <v>55.58</v>
      </c>
      <c r="I98" s="13">
        <v>65.453999999999994</v>
      </c>
      <c r="J98" s="13">
        <v>66.138999999999996</v>
      </c>
      <c r="K98" s="13">
        <v>66.311999999999998</v>
      </c>
      <c r="L98" s="7">
        <f>IFERROR((Definitivo[[#This Row],[2024]]-Definitivo[[#This Row],[2000]])/Definitivo[[#This Row],[2000]],0)</f>
        <v>0.13610197368421045</v>
      </c>
      <c r="M98" s="7">
        <f>IFERROR((Definitivo[[#This Row],[2024]]-Definitivo[[#This Row],[2022]])/Definitivo[[#This Row],[2022]],0)</f>
        <v>1.3108442570354817E-2</v>
      </c>
    </row>
    <row r="99" spans="1:13" ht="18" x14ac:dyDescent="0.3">
      <c r="A99" s="17" t="s">
        <v>68</v>
      </c>
      <c r="B99" s="16" t="s">
        <v>50</v>
      </c>
      <c r="C99" s="16" t="s">
        <v>51</v>
      </c>
      <c r="D99" s="15" t="s">
        <v>18</v>
      </c>
      <c r="E99" s="15" t="s">
        <v>19</v>
      </c>
      <c r="F99" s="13">
        <v>12.866300000000001</v>
      </c>
      <c r="G99" s="13">
        <v>16.635000000000002</v>
      </c>
      <c r="H99" s="13">
        <v>19.671800000000001</v>
      </c>
      <c r="I99" s="13">
        <v>22.885899999999999</v>
      </c>
      <c r="J99" s="13">
        <v>22.9985</v>
      </c>
      <c r="K99" s="13">
        <v>22.671500000000002</v>
      </c>
      <c r="L99" s="7">
        <f>IFERROR((Definitivo[[#This Row],[2024]]-Definitivo[[#This Row],[2000]])/Definitivo[[#This Row],[2000]],0)</f>
        <v>0.76208389358245965</v>
      </c>
      <c r="M99" s="7">
        <f>IFERROR((Definitivo[[#This Row],[2024]]-Definitivo[[#This Row],[2022]])/Definitivo[[#This Row],[2022]],0)</f>
        <v>-9.3682136162439623E-3</v>
      </c>
    </row>
    <row r="100" spans="1:13" ht="18" x14ac:dyDescent="0.3">
      <c r="A100" s="17" t="s">
        <v>68</v>
      </c>
      <c r="B100" s="16" t="s">
        <v>50</v>
      </c>
      <c r="C100" s="16" t="s">
        <v>51</v>
      </c>
      <c r="D100" s="15" t="s">
        <v>20</v>
      </c>
      <c r="E100" s="15" t="s">
        <v>21</v>
      </c>
      <c r="F100" s="13">
        <v>35.180300000000003</v>
      </c>
      <c r="G100" s="13">
        <v>36.005400000000002</v>
      </c>
      <c r="H100" s="13">
        <v>36.791200000000003</v>
      </c>
      <c r="I100" s="13">
        <v>47.778599999999997</v>
      </c>
      <c r="J100" s="13">
        <v>47.720300000000002</v>
      </c>
      <c r="K100" s="13">
        <v>44.484200000000001</v>
      </c>
      <c r="L100" s="7">
        <f>IFERROR((Definitivo[[#This Row],[2024]]-Definitivo[[#This Row],[2000]])/Definitivo[[#This Row],[2000]],0)</f>
        <v>0.26446335022725781</v>
      </c>
      <c r="M100" s="7">
        <f>IFERROR((Definitivo[[#This Row],[2024]]-Definitivo[[#This Row],[2022]])/Definitivo[[#This Row],[2022]],0)</f>
        <v>-6.8951371534536302E-2</v>
      </c>
    </row>
    <row r="101" spans="1:13" ht="18" x14ac:dyDescent="0.3">
      <c r="A101" s="17" t="s">
        <v>68</v>
      </c>
      <c r="B101" s="16" t="s">
        <v>50</v>
      </c>
      <c r="C101" s="16" t="s">
        <v>51</v>
      </c>
      <c r="D101" s="15" t="s">
        <v>22</v>
      </c>
      <c r="E101" s="15" t="s">
        <v>23</v>
      </c>
      <c r="F101" s="13">
        <v>13.9092</v>
      </c>
      <c r="G101" s="13">
        <v>13.3246</v>
      </c>
      <c r="H101" s="13">
        <v>14.211600000000001</v>
      </c>
      <c r="I101" s="13">
        <v>16.827300000000001</v>
      </c>
      <c r="J101" s="13">
        <v>18.284500000000001</v>
      </c>
      <c r="K101" s="13">
        <v>19.982299999999999</v>
      </c>
      <c r="L101" s="7">
        <f>IFERROR((Definitivo[[#This Row],[2024]]-Definitivo[[#This Row],[2000]])/Definitivo[[#This Row],[2000]],0)</f>
        <v>0.43662468006786864</v>
      </c>
      <c r="M101" s="7">
        <f>IFERROR((Definitivo[[#This Row],[2024]]-Definitivo[[#This Row],[2022]])/Definitivo[[#This Row],[2022]],0)</f>
        <v>0.18749294301521915</v>
      </c>
    </row>
    <row r="102" spans="1:13" ht="18" x14ac:dyDescent="0.3">
      <c r="A102" s="17" t="s">
        <v>68</v>
      </c>
      <c r="B102" s="16" t="s">
        <v>50</v>
      </c>
      <c r="C102" s="16" t="s">
        <v>51</v>
      </c>
      <c r="D102" s="15" t="s">
        <v>24</v>
      </c>
      <c r="E102" s="15" t="s">
        <v>25</v>
      </c>
      <c r="F102" s="13">
        <v>0.31259999999999999</v>
      </c>
      <c r="G102" s="13">
        <v>0.3054</v>
      </c>
      <c r="H102" s="13">
        <v>0.42430000000000001</v>
      </c>
      <c r="I102" s="13">
        <v>1.2666999999999999</v>
      </c>
      <c r="J102" s="13">
        <v>1.2777000000000001</v>
      </c>
      <c r="K102" s="13">
        <v>1.2755000000000001</v>
      </c>
      <c r="L102" s="7">
        <f>IFERROR((Definitivo[[#This Row],[2024]]-Definitivo[[#This Row],[2000]])/Definitivo[[#This Row],[2000]],0)</f>
        <v>3.0802943058221373</v>
      </c>
      <c r="M102" s="7">
        <f>IFERROR((Definitivo[[#This Row],[2024]]-Definitivo[[#This Row],[2022]])/Definitivo[[#This Row],[2022]],0)</f>
        <v>6.9471856003790492E-3</v>
      </c>
    </row>
    <row r="103" spans="1:13" ht="18" x14ac:dyDescent="0.3">
      <c r="A103" s="17" t="s">
        <v>68</v>
      </c>
      <c r="B103" s="16" t="s">
        <v>50</v>
      </c>
      <c r="C103" s="16" t="s">
        <v>51</v>
      </c>
      <c r="D103" s="15" t="s">
        <v>28</v>
      </c>
      <c r="E103" s="15" t="s">
        <v>29</v>
      </c>
      <c r="F103" s="13">
        <v>347.28320000000002</v>
      </c>
      <c r="G103" s="13">
        <v>357.37880000000001</v>
      </c>
      <c r="H103" s="13">
        <v>370.77280000000002</v>
      </c>
      <c r="I103" s="13">
        <v>429.32810000000001</v>
      </c>
      <c r="J103" s="13">
        <v>427.26690000000002</v>
      </c>
      <c r="K103" s="13">
        <v>440.1678</v>
      </c>
      <c r="L103" s="7">
        <f>IFERROR((Definitivo[[#This Row],[2024]]-Definitivo[[#This Row],[2000]])/Definitivo[[#This Row],[2000]],0)</f>
        <v>0.26746067762563802</v>
      </c>
      <c r="M103" s="7">
        <f>IFERROR((Definitivo[[#This Row],[2024]]-Definitivo[[#This Row],[2022]])/Definitivo[[#This Row],[2022]],0)</f>
        <v>2.5248056206896297E-2</v>
      </c>
    </row>
    <row r="104" spans="1:13" ht="18" x14ac:dyDescent="0.3">
      <c r="A104" s="17" t="s">
        <v>68</v>
      </c>
      <c r="B104" s="16" t="s">
        <v>50</v>
      </c>
      <c r="C104" s="16" t="s">
        <v>51</v>
      </c>
      <c r="D104" s="15" t="s">
        <v>30</v>
      </c>
      <c r="E104" s="15" t="s">
        <v>31</v>
      </c>
      <c r="F104" s="13">
        <v>21000000</v>
      </c>
      <c r="G104" s="13">
        <v>37000000</v>
      </c>
      <c r="H104" s="13">
        <v>22000000</v>
      </c>
      <c r="I104" s="13">
        <v>68000000</v>
      </c>
      <c r="J104" s="13">
        <v>58000000</v>
      </c>
      <c r="K104" s="13">
        <v>27000000</v>
      </c>
      <c r="L104" s="7">
        <f>IFERROR((Definitivo[[#This Row],[2024]]-Definitivo[[#This Row],[2000]])/Definitivo[[#This Row],[2000]],0)</f>
        <v>0.2857142857142857</v>
      </c>
      <c r="M104" s="7">
        <f>IFERROR((Definitivo[[#This Row],[2024]]-Definitivo[[#This Row],[2022]])/Definitivo[[#This Row],[2022]],0)</f>
        <v>-0.6029411764705882</v>
      </c>
    </row>
    <row r="105" spans="1:13" ht="18" x14ac:dyDescent="0.3">
      <c r="A105" s="17" t="s">
        <v>68</v>
      </c>
      <c r="B105" s="16" t="s">
        <v>50</v>
      </c>
      <c r="C105" s="16" t="s">
        <v>51</v>
      </c>
      <c r="D105" s="15" t="s">
        <v>34</v>
      </c>
      <c r="E105" s="15" t="s">
        <v>35</v>
      </c>
      <c r="F105" s="13">
        <v>13128250000</v>
      </c>
      <c r="G105" s="13">
        <v>15516000000</v>
      </c>
      <c r="H105" s="13">
        <v>18615750000</v>
      </c>
      <c r="I105" s="13">
        <v>53141500000</v>
      </c>
      <c r="J105" s="13">
        <v>53000325000</v>
      </c>
      <c r="K105" s="13">
        <v>51974850000</v>
      </c>
      <c r="L105" s="7">
        <f>IFERROR((Definitivo[[#This Row],[2024]]-Definitivo[[#This Row],[2000]])/Definitivo[[#This Row],[2000]],0)</f>
        <v>2.9590082455772855</v>
      </c>
      <c r="M105" s="7">
        <f>IFERROR((Definitivo[[#This Row],[2024]]-Definitivo[[#This Row],[2022]])/Definitivo[[#This Row],[2022]],0)</f>
        <v>-2.1953652042189249E-2</v>
      </c>
    </row>
    <row r="106" spans="1:13" ht="18" x14ac:dyDescent="0.3">
      <c r="A106" s="17" t="s">
        <v>68</v>
      </c>
      <c r="B106" s="16" t="s">
        <v>50</v>
      </c>
      <c r="C106" s="16" t="s">
        <v>51</v>
      </c>
      <c r="D106" s="15" t="s">
        <v>36</v>
      </c>
      <c r="E106" s="15" t="s">
        <v>37</v>
      </c>
      <c r="F106" s="13">
        <v>13.295299999999999</v>
      </c>
      <c r="G106" s="13">
        <v>13.525399999999999</v>
      </c>
      <c r="H106" s="13">
        <v>14.0418</v>
      </c>
      <c r="I106" s="13">
        <v>25.3186</v>
      </c>
      <c r="J106" s="13">
        <v>25.360800000000001</v>
      </c>
      <c r="K106" s="13">
        <v>25.437899999999999</v>
      </c>
      <c r="L106" s="7">
        <f>IFERROR((Definitivo[[#This Row],[2024]]-Definitivo[[#This Row],[2000]])/Definitivo[[#This Row],[2000]],0)</f>
        <v>0.91330018878851926</v>
      </c>
      <c r="M106" s="7">
        <f>IFERROR((Definitivo[[#This Row],[2024]]-Definitivo[[#This Row],[2022]])/Definitivo[[#This Row],[2022]],0)</f>
        <v>4.7119508977589231E-3</v>
      </c>
    </row>
    <row r="107" spans="1:13" ht="18" x14ac:dyDescent="0.3">
      <c r="A107" s="17" t="s">
        <v>68</v>
      </c>
      <c r="B107" s="16" t="s">
        <v>50</v>
      </c>
      <c r="C107" s="16" t="s">
        <v>51</v>
      </c>
      <c r="D107" s="15" t="s">
        <v>38</v>
      </c>
      <c r="E107" s="15" t="s">
        <v>39</v>
      </c>
      <c r="F107" s="13">
        <v>0.57599999999999996</v>
      </c>
      <c r="G107" s="13">
        <v>0.58809999999999996</v>
      </c>
      <c r="H107" s="13">
        <v>0.59470000000000001</v>
      </c>
      <c r="I107" s="13">
        <v>0.81679999999999997</v>
      </c>
      <c r="J107" s="13">
        <v>0.83089999999999997</v>
      </c>
      <c r="K107" s="13">
        <v>0.84519999999999995</v>
      </c>
      <c r="L107" s="7">
        <f>IFERROR((Definitivo[[#This Row],[2024]]-Definitivo[[#This Row],[2000]])/Definitivo[[#This Row],[2000]],0)</f>
        <v>0.46736111111111112</v>
      </c>
      <c r="M107" s="7">
        <f>IFERROR((Definitivo[[#This Row],[2024]]-Definitivo[[#This Row],[2022]])/Definitivo[[#This Row],[2022]],0)</f>
        <v>3.4769833496571964E-2</v>
      </c>
    </row>
    <row r="108" spans="1:13" ht="18" x14ac:dyDescent="0.3">
      <c r="A108" s="17" t="s">
        <v>71</v>
      </c>
      <c r="B108" s="16" t="s">
        <v>62</v>
      </c>
      <c r="C108" s="16" t="s">
        <v>63</v>
      </c>
      <c r="D108" s="15" t="s">
        <v>12</v>
      </c>
      <c r="E108" s="15" t="s">
        <v>13</v>
      </c>
      <c r="F108" s="13">
        <v>38865.02193968802</v>
      </c>
      <c r="G108" s="13">
        <v>39638.791106186392</v>
      </c>
      <c r="H108" s="13">
        <v>42458.738467918709</v>
      </c>
      <c r="I108" s="13">
        <v>94394.510680352454</v>
      </c>
      <c r="J108" s="13">
        <v>100623.54962729648</v>
      </c>
      <c r="K108" s="13">
        <v>103998.18668560409</v>
      </c>
      <c r="L108" s="7">
        <f>IFERROR((Definitivo[[#This Row],[2024]]-Definitivo[[#This Row],[2000]])/Definitivo[[#This Row],[2000]],0)</f>
        <v>1.6758813322424413</v>
      </c>
      <c r="M108" s="7">
        <f>IFERROR((Definitivo[[#This Row],[2024]]-Definitivo[[#This Row],[2022]])/Definitivo[[#This Row],[2022]],0)</f>
        <v>0.10173977211209348</v>
      </c>
    </row>
    <row r="109" spans="1:13" ht="18" x14ac:dyDescent="0.3">
      <c r="A109" s="17" t="s">
        <v>71</v>
      </c>
      <c r="B109" s="16" t="s">
        <v>62</v>
      </c>
      <c r="C109" s="16" t="s">
        <v>63</v>
      </c>
      <c r="D109" s="15" t="s">
        <v>16</v>
      </c>
      <c r="E109" s="15" t="s">
        <v>17</v>
      </c>
      <c r="F109" s="13">
        <v>79.680487804878055</v>
      </c>
      <c r="G109" s="13">
        <v>80.180487804878055</v>
      </c>
      <c r="H109" s="13">
        <v>80.385365853658541</v>
      </c>
      <c r="I109" s="13">
        <v>83.604878048780492</v>
      </c>
      <c r="J109" s="13">
        <v>84.156097560975624</v>
      </c>
      <c r="K109" s="13">
        <v>84.407317073170745</v>
      </c>
      <c r="L109" s="7">
        <f>IFERROR((Definitivo[[#This Row],[2024]]-Definitivo[[#This Row],[2000]])/Definitivo[[#This Row],[2000]],0)</f>
        <v>5.9322293305580295E-2</v>
      </c>
      <c r="M109" s="7">
        <f>IFERROR((Definitivo[[#This Row],[2024]]-Definitivo[[#This Row],[2022]])/Definitivo[[#This Row],[2022]],0)</f>
        <v>9.5979928817318313E-3</v>
      </c>
    </row>
    <row r="110" spans="1:13" ht="18" x14ac:dyDescent="0.3">
      <c r="A110" s="17" t="s">
        <v>71</v>
      </c>
      <c r="B110" s="16" t="s">
        <v>62</v>
      </c>
      <c r="C110" s="16" t="s">
        <v>63</v>
      </c>
      <c r="D110" s="15" t="s">
        <v>18</v>
      </c>
      <c r="E110" s="15" t="s">
        <v>19</v>
      </c>
      <c r="F110" s="13">
        <v>16.360199999999999</v>
      </c>
      <c r="G110" s="13">
        <v>17.625399999999999</v>
      </c>
      <c r="H110" s="13">
        <v>16.5809</v>
      </c>
      <c r="I110" s="13">
        <v>9.9785000000000004</v>
      </c>
      <c r="J110" s="13">
        <v>9.6178000000000008</v>
      </c>
      <c r="K110" s="13">
        <v>9.6685999999999996</v>
      </c>
      <c r="L110" s="7">
        <f>IFERROR((Definitivo[[#This Row],[2024]]-Definitivo[[#This Row],[2000]])/Definitivo[[#This Row],[2000]],0)</f>
        <v>-0.40901700468209434</v>
      </c>
      <c r="M110" s="7">
        <f>IFERROR((Definitivo[[#This Row],[2024]]-Definitivo[[#This Row],[2022]])/Definitivo[[#This Row],[2022]],0)</f>
        <v>-3.1056772059928919E-2</v>
      </c>
    </row>
    <row r="111" spans="1:13" ht="18" x14ac:dyDescent="0.3">
      <c r="A111" s="17" t="s">
        <v>71</v>
      </c>
      <c r="B111" s="16" t="s">
        <v>62</v>
      </c>
      <c r="C111" s="16" t="s">
        <v>63</v>
      </c>
      <c r="D111" s="15" t="s">
        <v>20</v>
      </c>
      <c r="E111" s="15" t="s">
        <v>21</v>
      </c>
      <c r="F111" s="13">
        <v>16.549600000000002</v>
      </c>
      <c r="G111" s="13">
        <v>16.241900000000001</v>
      </c>
      <c r="H111" s="13">
        <v>16.268799999999999</v>
      </c>
      <c r="I111" s="13">
        <v>14.461399999999999</v>
      </c>
      <c r="J111" s="13">
        <v>14.4838</v>
      </c>
      <c r="K111" s="13">
        <v>14.4941</v>
      </c>
      <c r="L111" s="7">
        <f>IFERROR((Definitivo[[#This Row],[2024]]-Definitivo[[#This Row],[2000]])/Definitivo[[#This Row],[2000]],0)</f>
        <v>-0.12420239764103071</v>
      </c>
      <c r="M111" s="7">
        <f>IFERROR((Definitivo[[#This Row],[2024]]-Definitivo[[#This Row],[2022]])/Definitivo[[#This Row],[2022]],0)</f>
        <v>2.2611918624752909E-3</v>
      </c>
    </row>
    <row r="112" spans="1:13" ht="18" x14ac:dyDescent="0.3">
      <c r="A112" s="17" t="s">
        <v>71</v>
      </c>
      <c r="B112" s="16" t="s">
        <v>62</v>
      </c>
      <c r="C112" s="16" t="s">
        <v>63</v>
      </c>
      <c r="D112" s="15" t="s">
        <v>22</v>
      </c>
      <c r="E112" s="15" t="s">
        <v>23</v>
      </c>
      <c r="F112" s="13">
        <v>2.6964999999999999</v>
      </c>
      <c r="G112" s="13">
        <v>2.7197</v>
      </c>
      <c r="H112" s="13">
        <v>2.6318999999999999</v>
      </c>
      <c r="I112" s="13">
        <v>2.5878000000000001</v>
      </c>
      <c r="J112" s="13">
        <v>2.5506000000000002</v>
      </c>
      <c r="K112" s="13">
        <v>2.5707</v>
      </c>
      <c r="L112" s="7">
        <f>IFERROR((Definitivo[[#This Row],[2024]]-Definitivo[[#This Row],[2000]])/Definitivo[[#This Row],[2000]],0)</f>
        <v>-4.6653068792879629E-2</v>
      </c>
      <c r="M112" s="7">
        <f>IFERROR((Definitivo[[#This Row],[2024]]-Definitivo[[#This Row],[2022]])/Definitivo[[#This Row],[2022]],0)</f>
        <v>-6.6079295154185466E-3</v>
      </c>
    </row>
    <row r="113" spans="1:13" ht="18" x14ac:dyDescent="0.3">
      <c r="A113" s="17" t="s">
        <v>71</v>
      </c>
      <c r="B113" s="16" t="s">
        <v>62</v>
      </c>
      <c r="C113" s="16" t="s">
        <v>63</v>
      </c>
      <c r="D113" s="15" t="s">
        <v>24</v>
      </c>
      <c r="E113" s="15" t="s">
        <v>25</v>
      </c>
      <c r="F113" s="13">
        <v>4.24E-2</v>
      </c>
      <c r="G113" s="13">
        <v>3.3000000000000002E-2</v>
      </c>
      <c r="H113" s="13">
        <v>2.6700000000000002E-2</v>
      </c>
      <c r="I113" s="13">
        <v>3.5999999999999997E-2</v>
      </c>
      <c r="J113" s="13">
        <v>4.07E-2</v>
      </c>
      <c r="K113" s="13">
        <v>4.6199999999999998E-2</v>
      </c>
      <c r="L113" s="7">
        <f>IFERROR((Definitivo[[#This Row],[2024]]-Definitivo[[#This Row],[2000]])/Definitivo[[#This Row],[2000]],0)</f>
        <v>8.9622641509433915E-2</v>
      </c>
      <c r="M113" s="7">
        <f>IFERROR((Definitivo[[#This Row],[2024]]-Definitivo[[#This Row],[2022]])/Definitivo[[#This Row],[2022]],0)</f>
        <v>0.28333333333333338</v>
      </c>
    </row>
    <row r="114" spans="1:13" ht="18" x14ac:dyDescent="0.3">
      <c r="A114" s="17" t="s">
        <v>71</v>
      </c>
      <c r="B114" s="16" t="s">
        <v>62</v>
      </c>
      <c r="C114" s="16" t="s">
        <v>63</v>
      </c>
      <c r="D114" s="15" t="s">
        <v>26</v>
      </c>
      <c r="E114" s="15" t="s">
        <v>27</v>
      </c>
      <c r="F114" s="13">
        <v>3.8E-3</v>
      </c>
      <c r="G114" s="13">
        <v>3.0000000000000001E-3</v>
      </c>
      <c r="H114" s="13">
        <v>2.3E-3</v>
      </c>
      <c r="I114" s="13">
        <v>1.4E-3</v>
      </c>
      <c r="J114" s="13">
        <v>1.4E-3</v>
      </c>
      <c r="K114" s="13">
        <v>1.2999999999999999E-3</v>
      </c>
      <c r="L114" s="7">
        <f>IFERROR((Definitivo[[#This Row],[2024]]-Definitivo[[#This Row],[2000]])/Definitivo[[#This Row],[2000]],0)</f>
        <v>-0.65789473684210531</v>
      </c>
      <c r="M114" s="7">
        <f>IFERROR((Definitivo[[#This Row],[2024]]-Definitivo[[#This Row],[2022]])/Definitivo[[#This Row],[2022]],0)</f>
        <v>-7.1428571428571466E-2</v>
      </c>
    </row>
    <row r="115" spans="1:13" ht="18" x14ac:dyDescent="0.3">
      <c r="A115" s="17" t="s">
        <v>71</v>
      </c>
      <c r="B115" s="16" t="s">
        <v>62</v>
      </c>
      <c r="C115" s="16" t="s">
        <v>63</v>
      </c>
      <c r="D115" s="15" t="s">
        <v>28</v>
      </c>
      <c r="E115" s="15" t="s">
        <v>29</v>
      </c>
      <c r="F115" s="13">
        <v>44.764299999999999</v>
      </c>
      <c r="G115" s="13">
        <v>46.188699999999997</v>
      </c>
      <c r="H115" s="13">
        <v>44.5779</v>
      </c>
      <c r="I115" s="13">
        <v>34.480499999999999</v>
      </c>
      <c r="J115" s="13">
        <v>33.6661</v>
      </c>
      <c r="K115" s="13">
        <v>33.732100000000003</v>
      </c>
      <c r="L115" s="7">
        <f>IFERROR((Definitivo[[#This Row],[2024]]-Definitivo[[#This Row],[2000]])/Definitivo[[#This Row],[2000]],0)</f>
        <v>-0.24645085481064144</v>
      </c>
      <c r="M115" s="7">
        <f>IFERROR((Definitivo[[#This Row],[2024]]-Definitivo[[#This Row],[2022]])/Definitivo[[#This Row],[2022]],0)</f>
        <v>-2.1705021678919873E-2</v>
      </c>
    </row>
    <row r="116" spans="1:13" ht="18" x14ac:dyDescent="0.3">
      <c r="A116" s="17" t="s">
        <v>71</v>
      </c>
      <c r="B116" s="16" t="s">
        <v>62</v>
      </c>
      <c r="C116" s="16" t="s">
        <v>63</v>
      </c>
      <c r="D116" s="15" t="s">
        <v>30</v>
      </c>
      <c r="E116" s="15" t="s">
        <v>31</v>
      </c>
      <c r="F116" s="13">
        <v>139000000</v>
      </c>
      <c r="G116" s="13">
        <v>218000000</v>
      </c>
      <c r="H116" s="13">
        <v>177000000</v>
      </c>
      <c r="I116" s="13">
        <v>176000000</v>
      </c>
      <c r="J116" s="13">
        <v>63000000</v>
      </c>
      <c r="K116" s="13">
        <v>33000000</v>
      </c>
      <c r="L116" s="7">
        <f>IFERROR((Definitivo[[#This Row],[2024]]-Definitivo[[#This Row],[2000]])/Definitivo[[#This Row],[2000]],0)</f>
        <v>-0.76258992805755399</v>
      </c>
      <c r="M116" s="7">
        <f>IFERROR((Definitivo[[#This Row],[2024]]-Definitivo[[#This Row],[2022]])/Definitivo[[#This Row],[2022]],0)</f>
        <v>-0.8125</v>
      </c>
    </row>
    <row r="117" spans="1:13" ht="18" x14ac:dyDescent="0.3">
      <c r="A117" s="17" t="s">
        <v>71</v>
      </c>
      <c r="B117" s="16" t="s">
        <v>62</v>
      </c>
      <c r="C117" s="16" t="s">
        <v>63</v>
      </c>
      <c r="D117" s="15" t="s">
        <v>34</v>
      </c>
      <c r="E117" s="15" t="s">
        <v>35</v>
      </c>
      <c r="F117" s="13">
        <v>4729000000</v>
      </c>
      <c r="G117" s="13">
        <v>4664000000</v>
      </c>
      <c r="H117" s="13">
        <v>4493000000</v>
      </c>
      <c r="I117" s="13">
        <v>5395700000</v>
      </c>
      <c r="J117" s="13">
        <v>5670900000</v>
      </c>
      <c r="K117" s="13">
        <v>5919600000</v>
      </c>
      <c r="L117" s="7">
        <f>IFERROR((Definitivo[[#This Row],[2024]]-Definitivo[[#This Row],[2000]])/Definitivo[[#This Row],[2000]],0)</f>
        <v>0.25176570099386764</v>
      </c>
      <c r="M117" s="7">
        <f>IFERROR((Definitivo[[#This Row],[2024]]-Definitivo[[#This Row],[2022]])/Definitivo[[#This Row],[2022]],0)</f>
        <v>9.7095835572770905E-2</v>
      </c>
    </row>
    <row r="118" spans="1:13" ht="18" x14ac:dyDescent="0.3">
      <c r="A118" s="17" t="s">
        <v>71</v>
      </c>
      <c r="B118" s="16" t="s">
        <v>62</v>
      </c>
      <c r="C118" s="16" t="s">
        <v>63</v>
      </c>
      <c r="D118" s="15" t="s">
        <v>36</v>
      </c>
      <c r="E118" s="15" t="s">
        <v>37</v>
      </c>
      <c r="F118" s="13">
        <v>0.52610000000000001</v>
      </c>
      <c r="G118" s="13">
        <v>0.50470000000000004</v>
      </c>
      <c r="H118" s="13">
        <v>0.47410000000000002</v>
      </c>
      <c r="I118" s="13">
        <v>0.24959999999999999</v>
      </c>
      <c r="J118" s="13">
        <v>0.2477</v>
      </c>
      <c r="K118" s="13">
        <v>0.24740000000000001</v>
      </c>
      <c r="L118" s="7">
        <f>IFERROR((Definitivo[[#This Row],[2024]]-Definitivo[[#This Row],[2000]])/Definitivo[[#This Row],[2000]],0)</f>
        <v>-0.52974719635050371</v>
      </c>
      <c r="M118" s="7">
        <f>IFERROR((Definitivo[[#This Row],[2024]]-Definitivo[[#This Row],[2022]])/Definitivo[[#This Row],[2022]],0)</f>
        <v>-8.8141025641024842E-3</v>
      </c>
    </row>
    <row r="119" spans="1:13" ht="18" x14ac:dyDescent="0.3">
      <c r="A119" s="17" t="s">
        <v>71</v>
      </c>
      <c r="B119" s="16" t="s">
        <v>62</v>
      </c>
      <c r="C119" s="16" t="s">
        <v>63</v>
      </c>
      <c r="D119" s="15" t="s">
        <v>38</v>
      </c>
      <c r="E119" s="15" t="s">
        <v>39</v>
      </c>
      <c r="F119" s="13">
        <v>0.1376</v>
      </c>
      <c r="G119" s="13">
        <v>0.13950000000000001</v>
      </c>
      <c r="H119" s="13">
        <v>0.13969999999999999</v>
      </c>
      <c r="I119" s="13">
        <v>0.1726</v>
      </c>
      <c r="J119" s="13">
        <v>0.1744</v>
      </c>
      <c r="K119" s="13">
        <v>0.17630000000000001</v>
      </c>
      <c r="L119" s="7">
        <f>IFERROR((Definitivo[[#This Row],[2024]]-Definitivo[[#This Row],[2000]])/Definitivo[[#This Row],[2000]],0)</f>
        <v>0.28125000000000011</v>
      </c>
      <c r="M119" s="7">
        <f>IFERROR((Definitivo[[#This Row],[2024]]-Definitivo[[#This Row],[2022]])/Definitivo[[#This Row],[2022]],0)</f>
        <v>2.1436848203939797E-2</v>
      </c>
    </row>
    <row r="120" spans="1:13" ht="18" x14ac:dyDescent="0.3">
      <c r="A120" s="17" t="s">
        <v>78</v>
      </c>
      <c r="B120" s="16" t="s">
        <v>48</v>
      </c>
      <c r="C120" s="16" t="s">
        <v>49</v>
      </c>
      <c r="D120" s="15" t="s">
        <v>12</v>
      </c>
      <c r="E120" s="15" t="s">
        <v>13</v>
      </c>
      <c r="F120" s="13">
        <v>36329.956072710193</v>
      </c>
      <c r="G120" s="13">
        <v>37133.623113437039</v>
      </c>
      <c r="H120" s="13">
        <v>37997.759657305127</v>
      </c>
      <c r="I120" s="13">
        <v>76657.248884440341</v>
      </c>
      <c r="J120" s="13">
        <v>81032.26211754496</v>
      </c>
      <c r="K120" s="13">
        <v>84534.040784154844</v>
      </c>
      <c r="L120" s="7">
        <f>IFERROR((Definitivo[[#This Row],[2024]]-Definitivo[[#This Row],[2000]])/Definitivo[[#This Row],[2000]],0)</f>
        <v>1.3268412605556079</v>
      </c>
      <c r="M120" s="7">
        <f>IFERROR((Definitivo[[#This Row],[2024]]-Definitivo[[#This Row],[2022]])/Definitivo[[#This Row],[2022]],0)</f>
        <v>0.1027533862008099</v>
      </c>
    </row>
    <row r="121" spans="1:13" ht="18" x14ac:dyDescent="0.3">
      <c r="A121" s="17" t="s">
        <v>78</v>
      </c>
      <c r="B121" s="16" t="s">
        <v>48</v>
      </c>
      <c r="C121" s="16" t="s">
        <v>49</v>
      </c>
      <c r="D121" s="15" t="s">
        <v>16</v>
      </c>
      <c r="E121" s="15" t="s">
        <v>17</v>
      </c>
      <c r="F121" s="13">
        <v>76.636585365853662</v>
      </c>
      <c r="G121" s="13">
        <v>76.836585365853665</v>
      </c>
      <c r="H121" s="13">
        <v>76.936585365853659</v>
      </c>
      <c r="I121" s="13">
        <v>77.434146341463432</v>
      </c>
      <c r="J121" s="13">
        <v>78.385365853658541</v>
      </c>
      <c r="K121" s="13">
        <v>78.890243902439039</v>
      </c>
      <c r="L121" s="7">
        <f>IFERROR((Definitivo[[#This Row],[2024]]-Definitivo[[#This Row],[2000]])/Definitivo[[#This Row],[2000]],0)</f>
        <v>2.9407084433977417E-2</v>
      </c>
      <c r="M121" s="7">
        <f>IFERROR((Definitivo[[#This Row],[2024]]-Definitivo[[#This Row],[2022]])/Definitivo[[#This Row],[2022]],0)</f>
        <v>1.8804334131283823E-2</v>
      </c>
    </row>
    <row r="122" spans="1:13" ht="18" x14ac:dyDescent="0.3">
      <c r="A122" s="17" t="s">
        <v>78</v>
      </c>
      <c r="B122" s="16" t="s">
        <v>48</v>
      </c>
      <c r="C122" s="16" t="s">
        <v>49</v>
      </c>
      <c r="D122" s="15" t="s">
        <v>18</v>
      </c>
      <c r="E122" s="15" t="s">
        <v>19</v>
      </c>
      <c r="F122" s="13">
        <v>643.45979999999997</v>
      </c>
      <c r="G122" s="13">
        <v>629.28290000000004</v>
      </c>
      <c r="H122" s="13">
        <v>633.20399999999995</v>
      </c>
      <c r="I122" s="13">
        <v>591.73789999999997</v>
      </c>
      <c r="J122" s="13">
        <v>551.27769999999998</v>
      </c>
      <c r="K122" s="13">
        <v>557.84519999999998</v>
      </c>
      <c r="L122" s="7">
        <f>IFERROR((Definitivo[[#This Row],[2024]]-Definitivo[[#This Row],[2000]])/Definitivo[[#This Row],[2000]],0)</f>
        <v>-0.13305353341420861</v>
      </c>
      <c r="M122" s="7">
        <f>IFERROR((Definitivo[[#This Row],[2024]]-Definitivo[[#This Row],[2022]])/Definitivo[[#This Row],[2022]],0)</f>
        <v>-5.727654084688507E-2</v>
      </c>
    </row>
    <row r="123" spans="1:13" ht="18" x14ac:dyDescent="0.3">
      <c r="A123" s="17" t="s">
        <v>78</v>
      </c>
      <c r="B123" s="16" t="s">
        <v>48</v>
      </c>
      <c r="C123" s="16" t="s">
        <v>49</v>
      </c>
      <c r="D123" s="15" t="s">
        <v>20</v>
      </c>
      <c r="E123" s="15" t="s">
        <v>21</v>
      </c>
      <c r="F123" s="13">
        <v>1717.8487</v>
      </c>
      <c r="G123" s="13">
        <v>1720.0372</v>
      </c>
      <c r="H123" s="13">
        <v>1741.6418000000001</v>
      </c>
      <c r="I123" s="13">
        <v>1699.4280000000001</v>
      </c>
      <c r="J123" s="13">
        <v>1674.9644000000001</v>
      </c>
      <c r="K123" s="13">
        <v>1678.5621000000001</v>
      </c>
      <c r="L123" s="7">
        <f>IFERROR((Definitivo[[#This Row],[2024]]-Definitivo[[#This Row],[2000]])/Definitivo[[#This Row],[2000]],0)</f>
        <v>-2.286965086040459E-2</v>
      </c>
      <c r="M123" s="7">
        <f>IFERROR((Definitivo[[#This Row],[2024]]-Definitivo[[#This Row],[2022]])/Definitivo[[#This Row],[2022]],0)</f>
        <v>-1.2278190073365867E-2</v>
      </c>
    </row>
    <row r="124" spans="1:13" ht="18" x14ac:dyDescent="0.3">
      <c r="A124" s="17" t="s">
        <v>78</v>
      </c>
      <c r="B124" s="16" t="s">
        <v>48</v>
      </c>
      <c r="C124" s="16" t="s">
        <v>49</v>
      </c>
      <c r="D124" s="15" t="s">
        <v>22</v>
      </c>
      <c r="E124" s="15" t="s">
        <v>23</v>
      </c>
      <c r="F124" s="13">
        <v>161.81899999999999</v>
      </c>
      <c r="G124" s="13">
        <v>139.10310000000001</v>
      </c>
      <c r="H124" s="13">
        <v>144.94560000000001</v>
      </c>
      <c r="I124" s="13">
        <v>162.76249999999999</v>
      </c>
      <c r="J124" s="13">
        <v>157.42609999999999</v>
      </c>
      <c r="K124" s="13">
        <v>155.7201</v>
      </c>
      <c r="L124" s="7">
        <f>IFERROR((Definitivo[[#This Row],[2024]]-Definitivo[[#This Row],[2000]])/Definitivo[[#This Row],[2000]],0)</f>
        <v>-3.7689640895074046E-2</v>
      </c>
      <c r="M124" s="7">
        <f>IFERROR((Definitivo[[#This Row],[2024]]-Definitivo[[#This Row],[2022]])/Definitivo[[#This Row],[2022]],0)</f>
        <v>-4.3267951770217264E-2</v>
      </c>
    </row>
    <row r="125" spans="1:13" ht="18" x14ac:dyDescent="0.3">
      <c r="A125" s="17" t="s">
        <v>78</v>
      </c>
      <c r="B125" s="16" t="s">
        <v>48</v>
      </c>
      <c r="C125" s="16" t="s">
        <v>49</v>
      </c>
      <c r="D125" s="15" t="s">
        <v>24</v>
      </c>
      <c r="E125" s="15" t="s">
        <v>25</v>
      </c>
      <c r="F125" s="13">
        <v>5.3926999999999996</v>
      </c>
      <c r="G125" s="13">
        <v>5.6406000000000001</v>
      </c>
      <c r="H125" s="13">
        <v>5.7584999999999997</v>
      </c>
      <c r="I125" s="13">
        <v>6.8973000000000004</v>
      </c>
      <c r="J125" s="13">
        <v>6.8040000000000003</v>
      </c>
      <c r="K125" s="13">
        <v>6.8367000000000004</v>
      </c>
      <c r="L125" s="7">
        <f>IFERROR((Definitivo[[#This Row],[2024]]-Definitivo[[#This Row],[2000]])/Definitivo[[#This Row],[2000]],0)</f>
        <v>0.26776939195579225</v>
      </c>
      <c r="M125" s="7">
        <f>IFERROR((Definitivo[[#This Row],[2024]]-Definitivo[[#This Row],[2022]])/Definitivo[[#This Row],[2022]],0)</f>
        <v>-8.7860467139315359E-3</v>
      </c>
    </row>
    <row r="126" spans="1:13" ht="18" x14ac:dyDescent="0.3">
      <c r="A126" s="17" t="s">
        <v>78</v>
      </c>
      <c r="B126" s="16" t="s">
        <v>48</v>
      </c>
      <c r="C126" s="16" t="s">
        <v>49</v>
      </c>
      <c r="D126" s="15" t="s">
        <v>28</v>
      </c>
      <c r="E126" s="15" t="s">
        <v>29</v>
      </c>
      <c r="F126" s="13">
        <v>5928.7614000000003</v>
      </c>
      <c r="G126" s="13">
        <v>5877.6293999999998</v>
      </c>
      <c r="H126" s="13">
        <v>5726.7267000000002</v>
      </c>
      <c r="I126" s="13">
        <v>4815.7664999999997</v>
      </c>
      <c r="J126" s="13">
        <v>4618.2674999999999</v>
      </c>
      <c r="K126" s="13">
        <v>4632.1648999999998</v>
      </c>
      <c r="L126" s="7">
        <f>IFERROR((Definitivo[[#This Row],[2024]]-Definitivo[[#This Row],[2000]])/Definitivo[[#This Row],[2000]],0)</f>
        <v>-0.21869601633825245</v>
      </c>
      <c r="M126" s="7">
        <f>IFERROR((Definitivo[[#This Row],[2024]]-Definitivo[[#This Row],[2022]])/Definitivo[[#This Row],[2022]],0)</f>
        <v>-3.8125104279869045E-2</v>
      </c>
    </row>
    <row r="127" spans="1:13" ht="18" x14ac:dyDescent="0.3">
      <c r="A127" s="17" t="s">
        <v>78</v>
      </c>
      <c r="B127" s="16" t="s">
        <v>48</v>
      </c>
      <c r="C127" s="16" t="s">
        <v>49</v>
      </c>
      <c r="D127" s="15" t="s">
        <v>30</v>
      </c>
      <c r="E127" s="15" t="s">
        <v>31</v>
      </c>
      <c r="F127" s="13">
        <v>7677000000</v>
      </c>
      <c r="G127" s="13">
        <v>5597000000</v>
      </c>
      <c r="H127" s="13">
        <v>4888000000</v>
      </c>
      <c r="I127" s="13">
        <v>15351000000</v>
      </c>
      <c r="J127" s="13">
        <v>11102000000</v>
      </c>
      <c r="K127" s="13">
        <v>13512000000</v>
      </c>
      <c r="L127" s="7">
        <f>IFERROR((Definitivo[[#This Row],[2024]]-Definitivo[[#This Row],[2000]])/Definitivo[[#This Row],[2000]],0)</f>
        <v>0.760062524423603</v>
      </c>
      <c r="M127" s="7">
        <f>IFERROR((Definitivo[[#This Row],[2024]]-Definitivo[[#This Row],[2022]])/Definitivo[[#This Row],[2022]],0)</f>
        <v>-0.119796755911667</v>
      </c>
    </row>
    <row r="128" spans="1:13" ht="18" x14ac:dyDescent="0.3">
      <c r="A128" s="17" t="s">
        <v>78</v>
      </c>
      <c r="B128" s="16" t="s">
        <v>48</v>
      </c>
      <c r="C128" s="16" t="s">
        <v>49</v>
      </c>
      <c r="D128" s="15" t="s">
        <v>32</v>
      </c>
      <c r="E128" s="15" t="s">
        <v>33</v>
      </c>
      <c r="F128" s="13">
        <v>333000000</v>
      </c>
      <c r="G128" s="13">
        <v>508000000</v>
      </c>
      <c r="H128" s="13">
        <v>515000000</v>
      </c>
      <c r="I128" s="13">
        <v>733000000</v>
      </c>
      <c r="J128" s="13">
        <v>792000000</v>
      </c>
      <c r="K128" s="13">
        <v>1209000000</v>
      </c>
      <c r="L128" s="7">
        <f>IFERROR((Definitivo[[#This Row],[2024]]-Definitivo[[#This Row],[2000]])/Definitivo[[#This Row],[2000]],0)</f>
        <v>2.6306306306306309</v>
      </c>
      <c r="M128" s="7">
        <f>IFERROR((Definitivo[[#This Row],[2024]]-Definitivo[[#This Row],[2022]])/Definitivo[[#This Row],[2022]],0)</f>
        <v>0.64938608458390179</v>
      </c>
    </row>
    <row r="129" spans="1:13" ht="18" x14ac:dyDescent="0.3">
      <c r="A129" s="17" t="s">
        <v>78</v>
      </c>
      <c r="B129" s="16" t="s">
        <v>48</v>
      </c>
      <c r="C129" s="16" t="s">
        <v>49</v>
      </c>
      <c r="D129" s="15" t="s">
        <v>34</v>
      </c>
      <c r="E129" s="15" t="s">
        <v>35</v>
      </c>
      <c r="F129" s="13">
        <v>320086324211.19598</v>
      </c>
      <c r="G129" s="13">
        <v>331805610572.13702</v>
      </c>
      <c r="H129" s="13">
        <v>378463138753.841</v>
      </c>
      <c r="I129" s="13">
        <v>860692200000</v>
      </c>
      <c r="J129" s="13">
        <v>916014700000</v>
      </c>
      <c r="K129" s="13">
        <v>997309000000</v>
      </c>
      <c r="L129" s="7">
        <f>IFERROR((Definitivo[[#This Row],[2024]]-Definitivo[[#This Row],[2000]])/Definitivo[[#This Row],[2000]],0)</f>
        <v>2.1157501104044858</v>
      </c>
      <c r="M129" s="7">
        <f>IFERROR((Definitivo[[#This Row],[2024]]-Definitivo[[#This Row],[2022]])/Definitivo[[#This Row],[2022]],0)</f>
        <v>0.15872898580932882</v>
      </c>
    </row>
    <row r="130" spans="1:13" ht="18" x14ac:dyDescent="0.3">
      <c r="A130" s="17" t="s">
        <v>78</v>
      </c>
      <c r="B130" s="16" t="s">
        <v>48</v>
      </c>
      <c r="C130" s="16" t="s">
        <v>49</v>
      </c>
      <c r="D130" s="15" t="s">
        <v>36</v>
      </c>
      <c r="E130" s="15" t="s">
        <v>37</v>
      </c>
      <c r="F130" s="13">
        <v>183.5909</v>
      </c>
      <c r="G130" s="13">
        <v>178.1472</v>
      </c>
      <c r="H130" s="13">
        <v>176.40979999999999</v>
      </c>
      <c r="I130" s="13">
        <v>149.1806</v>
      </c>
      <c r="J130" s="13">
        <v>149.108</v>
      </c>
      <c r="K130" s="13">
        <v>149.52260000000001</v>
      </c>
      <c r="L130" s="7">
        <f>IFERROR((Definitivo[[#This Row],[2024]]-Definitivo[[#This Row],[2000]])/Definitivo[[#This Row],[2000]],0)</f>
        <v>-0.18556638700502037</v>
      </c>
      <c r="M130" s="7">
        <f>IFERROR((Definitivo[[#This Row],[2024]]-Definitivo[[#This Row],[2022]])/Definitivo[[#This Row],[2022]],0)</f>
        <v>2.2925232905619966E-3</v>
      </c>
    </row>
    <row r="131" spans="1:13" ht="18" x14ac:dyDescent="0.3">
      <c r="A131" s="17" t="s">
        <v>78</v>
      </c>
      <c r="B131" s="16" t="s">
        <v>48</v>
      </c>
      <c r="C131" s="16" t="s">
        <v>49</v>
      </c>
      <c r="D131" s="15" t="s">
        <v>38</v>
      </c>
      <c r="E131" s="15" t="s">
        <v>39</v>
      </c>
      <c r="F131" s="13">
        <v>7.2603999999999997</v>
      </c>
      <c r="G131" s="13">
        <v>7.3564999999999996</v>
      </c>
      <c r="H131" s="13">
        <v>7.4330999999999996</v>
      </c>
      <c r="I131" s="13">
        <v>9.7754999999999992</v>
      </c>
      <c r="J131" s="13">
        <v>9.8556000000000008</v>
      </c>
      <c r="K131" s="13">
        <v>9.9375</v>
      </c>
      <c r="L131" s="7">
        <f>IFERROR((Definitivo[[#This Row],[2024]]-Definitivo[[#This Row],[2000]])/Definitivo[[#This Row],[2000]],0)</f>
        <v>0.36872624097845852</v>
      </c>
      <c r="M131" s="7">
        <f>IFERROR((Definitivo[[#This Row],[2024]]-Definitivo[[#This Row],[2022]])/Definitivo[[#This Row],[2022]],0)</f>
        <v>1.6572042350774981E-2</v>
      </c>
    </row>
    <row r="132" spans="1:13" ht="18" x14ac:dyDescent="0.3">
      <c r="A132" s="17" t="s">
        <v>66</v>
      </c>
      <c r="B132" s="16" t="s">
        <v>42</v>
      </c>
      <c r="C132" s="16" t="s">
        <v>43</v>
      </c>
      <c r="D132" s="15" t="s">
        <v>12</v>
      </c>
      <c r="E132" s="15" t="s">
        <v>13</v>
      </c>
      <c r="F132" s="13">
        <v>404.02978405511834</v>
      </c>
      <c r="G132" s="13">
        <v>419.20567758090067</v>
      </c>
      <c r="H132" s="13">
        <v>445.13286181731331</v>
      </c>
      <c r="I132" s="13">
        <v>4147.69777213621</v>
      </c>
      <c r="J132" s="13">
        <v>4323.3503198245135</v>
      </c>
      <c r="K132" s="13">
        <v>4717.2902873244884</v>
      </c>
      <c r="L132" s="7">
        <f>IFERROR((Definitivo[[#This Row],[2024]]-Definitivo[[#This Row],[2000]])/Definitivo[[#This Row],[2000]],0)</f>
        <v>10.675600348020255</v>
      </c>
      <c r="M132" s="7">
        <f>IFERROR((Definitivo[[#This Row],[2024]]-Definitivo[[#This Row],[2022]])/Definitivo[[#This Row],[2022]],0)</f>
        <v>0.13732739135786123</v>
      </c>
    </row>
    <row r="133" spans="1:13" ht="18" x14ac:dyDescent="0.3">
      <c r="A133" s="17" t="s">
        <v>66</v>
      </c>
      <c r="B133" s="16" t="s">
        <v>42</v>
      </c>
      <c r="C133" s="16" t="s">
        <v>43</v>
      </c>
      <c r="D133" s="15" t="s">
        <v>16</v>
      </c>
      <c r="E133" s="15" t="s">
        <v>17</v>
      </c>
      <c r="F133" s="13">
        <v>72.745999999999995</v>
      </c>
      <c r="G133" s="13">
        <v>72.983999999999995</v>
      </c>
      <c r="H133" s="13">
        <v>73.138000000000005</v>
      </c>
      <c r="I133" s="13">
        <v>74.501999999999995</v>
      </c>
      <c r="J133" s="13">
        <v>74.587999999999994</v>
      </c>
      <c r="K133" s="13">
        <v>74.736000000000004</v>
      </c>
      <c r="L133" s="7">
        <f>IFERROR((Definitivo[[#This Row],[2024]]-Definitivo[[#This Row],[2000]])/Definitivo[[#This Row],[2000]],0)</f>
        <v>2.735545597008783E-2</v>
      </c>
      <c r="M133" s="7">
        <f>IFERROR((Definitivo[[#This Row],[2024]]-Definitivo[[#This Row],[2022]])/Definitivo[[#This Row],[2022]],0)</f>
        <v>3.1408552790530304E-3</v>
      </c>
    </row>
    <row r="134" spans="1:13" ht="18" x14ac:dyDescent="0.3">
      <c r="A134" s="17" t="s">
        <v>66</v>
      </c>
      <c r="B134" s="16" t="s">
        <v>42</v>
      </c>
      <c r="C134" s="16" t="s">
        <v>43</v>
      </c>
      <c r="D134" s="15" t="s">
        <v>18</v>
      </c>
      <c r="E134" s="15" t="s">
        <v>19</v>
      </c>
      <c r="F134" s="13">
        <v>7.7333999999999996</v>
      </c>
      <c r="G134" s="13">
        <v>8.7072000000000003</v>
      </c>
      <c r="H134" s="13">
        <v>9.4367000000000001</v>
      </c>
      <c r="I134" s="13">
        <v>14.460800000000001</v>
      </c>
      <c r="J134" s="13">
        <v>15.6059</v>
      </c>
      <c r="K134" s="13">
        <v>16.779900000000001</v>
      </c>
      <c r="L134" s="7">
        <f>IFERROR((Definitivo[[#This Row],[2024]]-Definitivo[[#This Row],[2000]])/Definitivo[[#This Row],[2000]],0)</f>
        <v>1.1697959500349138</v>
      </c>
      <c r="M134" s="7">
        <f>IFERROR((Definitivo[[#This Row],[2024]]-Definitivo[[#This Row],[2022]])/Definitivo[[#This Row],[2022]],0)</f>
        <v>0.16037148705465815</v>
      </c>
    </row>
    <row r="135" spans="1:13" ht="18" x14ac:dyDescent="0.3">
      <c r="A135" s="17" t="s">
        <v>66</v>
      </c>
      <c r="B135" s="16" t="s">
        <v>42</v>
      </c>
      <c r="C135" s="16" t="s">
        <v>43</v>
      </c>
      <c r="D135" s="15" t="s">
        <v>20</v>
      </c>
      <c r="E135" s="15" t="s">
        <v>21</v>
      </c>
      <c r="F135" s="13">
        <v>10.569699999999999</v>
      </c>
      <c r="G135" s="13">
        <v>11.294600000000001</v>
      </c>
      <c r="H135" s="13">
        <v>13.8393</v>
      </c>
      <c r="I135" s="13">
        <v>43.83</v>
      </c>
      <c r="J135" s="13">
        <v>47.650500000000001</v>
      </c>
      <c r="K135" s="13">
        <v>51.416499999999999</v>
      </c>
      <c r="L135" s="7">
        <f>IFERROR((Definitivo[[#This Row],[2024]]-Definitivo[[#This Row],[2000]])/Definitivo[[#This Row],[2000]],0)</f>
        <v>3.8645183874660591</v>
      </c>
      <c r="M135" s="7">
        <f>IFERROR((Definitivo[[#This Row],[2024]]-Definitivo[[#This Row],[2022]])/Definitivo[[#This Row],[2022]],0)</f>
        <v>0.17308920830481409</v>
      </c>
    </row>
    <row r="136" spans="1:13" ht="18" x14ac:dyDescent="0.3">
      <c r="A136" s="17" t="s">
        <v>66</v>
      </c>
      <c r="B136" s="16" t="s">
        <v>42</v>
      </c>
      <c r="C136" s="16" t="s">
        <v>43</v>
      </c>
      <c r="D136" s="15" t="s">
        <v>22</v>
      </c>
      <c r="E136" s="15" t="s">
        <v>23</v>
      </c>
      <c r="F136" s="13">
        <v>8.6166</v>
      </c>
      <c r="G136" s="13">
        <v>9.8926999999999996</v>
      </c>
      <c r="H136" s="13">
        <v>12.385999999999999</v>
      </c>
      <c r="I136" s="13">
        <v>53.207299999999996</v>
      </c>
      <c r="J136" s="13">
        <v>50.189799999999998</v>
      </c>
      <c r="K136" s="13">
        <v>50.2806</v>
      </c>
      <c r="L136" s="7">
        <f>IFERROR((Definitivo[[#This Row],[2024]]-Definitivo[[#This Row],[2000]])/Definitivo[[#This Row],[2000]],0)</f>
        <v>4.8353178747998049</v>
      </c>
      <c r="M136" s="7">
        <f>IFERROR((Definitivo[[#This Row],[2024]]-Definitivo[[#This Row],[2022]])/Definitivo[[#This Row],[2022]],0)</f>
        <v>-5.5005610132444177E-2</v>
      </c>
    </row>
    <row r="137" spans="1:13" ht="18" x14ac:dyDescent="0.3">
      <c r="A137" s="17" t="s">
        <v>66</v>
      </c>
      <c r="B137" s="16" t="s">
        <v>42</v>
      </c>
      <c r="C137" s="16" t="s">
        <v>43</v>
      </c>
      <c r="D137" s="15" t="s">
        <v>24</v>
      </c>
      <c r="E137" s="15" t="s">
        <v>25</v>
      </c>
      <c r="F137" s="13">
        <v>2.1827000000000001</v>
      </c>
      <c r="G137" s="13">
        <v>1.8815</v>
      </c>
      <c r="H137" s="13">
        <v>2.2867999999999999</v>
      </c>
      <c r="I137" s="13">
        <v>2.3906000000000001</v>
      </c>
      <c r="J137" s="13">
        <v>2.2227999999999999</v>
      </c>
      <c r="K137" s="13">
        <v>2.1665000000000001</v>
      </c>
      <c r="L137" s="7">
        <f>IFERROR((Definitivo[[#This Row],[2024]]-Definitivo[[#This Row],[2000]])/Definitivo[[#This Row],[2000]],0)</f>
        <v>-7.4220002748888953E-3</v>
      </c>
      <c r="M137" s="7">
        <f>IFERROR((Definitivo[[#This Row],[2024]]-Definitivo[[#This Row],[2022]])/Definitivo[[#This Row],[2022]],0)</f>
        <v>-9.3742156780724492E-2</v>
      </c>
    </row>
    <row r="138" spans="1:13" ht="18" x14ac:dyDescent="0.3">
      <c r="A138" s="17" t="s">
        <v>66</v>
      </c>
      <c r="B138" s="16" t="s">
        <v>42</v>
      </c>
      <c r="C138" s="16" t="s">
        <v>43</v>
      </c>
      <c r="D138" s="15" t="s">
        <v>26</v>
      </c>
      <c r="E138" s="15" t="s">
        <v>27</v>
      </c>
      <c r="F138" s="13">
        <v>7.0000000000000001E-3</v>
      </c>
      <c r="G138" s="13">
        <v>7.3000000000000001E-3</v>
      </c>
      <c r="H138" s="13">
        <v>7.4999999999999997E-3</v>
      </c>
      <c r="I138" s="13">
        <v>5.0700000000000002E-2</v>
      </c>
      <c r="J138" s="13">
        <v>5.1999999999999998E-2</v>
      </c>
      <c r="K138" s="13">
        <v>5.3400000000000003E-2</v>
      </c>
      <c r="L138" s="7">
        <f>IFERROR((Definitivo[[#This Row],[2024]]-Definitivo[[#This Row],[2000]])/Definitivo[[#This Row],[2000]],0)</f>
        <v>6.628571428571429</v>
      </c>
      <c r="M138" s="7">
        <f>IFERROR((Definitivo[[#This Row],[2024]]-Definitivo[[#This Row],[2022]])/Definitivo[[#This Row],[2022]],0)</f>
        <v>5.32544378698225E-2</v>
      </c>
    </row>
    <row r="139" spans="1:13" ht="18" x14ac:dyDescent="0.3">
      <c r="A139" s="17" t="s">
        <v>66</v>
      </c>
      <c r="B139" s="16" t="s">
        <v>42</v>
      </c>
      <c r="C139" s="16" t="s">
        <v>43</v>
      </c>
      <c r="D139" s="15" t="s">
        <v>28</v>
      </c>
      <c r="E139" s="15" t="s">
        <v>29</v>
      </c>
      <c r="F139" s="13">
        <v>56.535600000000002</v>
      </c>
      <c r="G139" s="13">
        <v>62.091700000000003</v>
      </c>
      <c r="H139" s="13">
        <v>73.081800000000001</v>
      </c>
      <c r="I139" s="13">
        <v>343.99990000000003</v>
      </c>
      <c r="J139" s="13">
        <v>390.7253</v>
      </c>
      <c r="K139" s="13">
        <v>430.81920000000002</v>
      </c>
      <c r="L139" s="7">
        <f>IFERROR((Definitivo[[#This Row],[2024]]-Definitivo[[#This Row],[2000]])/Definitivo[[#This Row],[2000]],0)</f>
        <v>6.6203171099271962</v>
      </c>
      <c r="M139" s="7">
        <f>IFERROR((Definitivo[[#This Row],[2024]]-Definitivo[[#This Row],[2022]])/Definitivo[[#This Row],[2022]],0)</f>
        <v>0.25238175941330215</v>
      </c>
    </row>
    <row r="140" spans="1:13" ht="18" x14ac:dyDescent="0.3">
      <c r="A140" s="17" t="s">
        <v>66</v>
      </c>
      <c r="B140" s="16" t="s">
        <v>42</v>
      </c>
      <c r="C140" s="16" t="s">
        <v>43</v>
      </c>
      <c r="D140" s="15" t="s">
        <v>32</v>
      </c>
      <c r="E140" s="15" t="s">
        <v>33</v>
      </c>
      <c r="F140" s="13">
        <v>11000000</v>
      </c>
      <c r="G140" s="13">
        <v>97000000</v>
      </c>
      <c r="H140" s="13">
        <v>58000000</v>
      </c>
      <c r="I140" s="13">
        <v>96000000</v>
      </c>
      <c r="J140" s="13">
        <v>55000000</v>
      </c>
      <c r="K140" s="13">
        <v>58000000</v>
      </c>
      <c r="L140" s="7">
        <f>IFERROR((Definitivo[[#This Row],[2024]]-Definitivo[[#This Row],[2000]])/Definitivo[[#This Row],[2000]],0)</f>
        <v>4.2727272727272725</v>
      </c>
      <c r="M140" s="7">
        <f>IFERROR((Definitivo[[#This Row],[2024]]-Definitivo[[#This Row],[2022]])/Definitivo[[#This Row],[2022]],0)</f>
        <v>-0.39583333333333331</v>
      </c>
    </row>
    <row r="141" spans="1:13" ht="18" x14ac:dyDescent="0.3">
      <c r="A141" s="17" t="s">
        <v>66</v>
      </c>
      <c r="B141" s="16" t="s">
        <v>42</v>
      </c>
      <c r="C141" s="16" t="s">
        <v>43</v>
      </c>
      <c r="D141" s="15" t="s">
        <v>36</v>
      </c>
      <c r="E141" s="15" t="s">
        <v>37</v>
      </c>
      <c r="F141" s="13">
        <v>7.1657999999999999</v>
      </c>
      <c r="G141" s="13">
        <v>7.4101999999999997</v>
      </c>
      <c r="H141" s="13">
        <v>7.6605999999999996</v>
      </c>
      <c r="I141" s="13">
        <v>16.2973</v>
      </c>
      <c r="J141" s="13">
        <v>16.780200000000001</v>
      </c>
      <c r="K141" s="13">
        <v>17.279599999999999</v>
      </c>
      <c r="L141" s="7">
        <f>IFERROR((Definitivo[[#This Row],[2024]]-Definitivo[[#This Row],[2000]])/Definitivo[[#This Row],[2000]],0)</f>
        <v>1.411398587736191</v>
      </c>
      <c r="M141" s="7">
        <f>IFERROR((Definitivo[[#This Row],[2024]]-Definitivo[[#This Row],[2022]])/Definitivo[[#This Row],[2022]],0)</f>
        <v>6.027378768262219E-2</v>
      </c>
    </row>
    <row r="142" spans="1:13" ht="18" x14ac:dyDescent="0.3">
      <c r="A142" s="17" t="s">
        <v>66</v>
      </c>
      <c r="B142" s="16" t="s">
        <v>42</v>
      </c>
      <c r="C142" s="16" t="s">
        <v>43</v>
      </c>
      <c r="D142" s="15" t="s">
        <v>38</v>
      </c>
      <c r="E142" s="15" t="s">
        <v>39</v>
      </c>
      <c r="F142" s="13">
        <v>0.75349999999999995</v>
      </c>
      <c r="G142" s="13">
        <v>0.76970000000000005</v>
      </c>
      <c r="H142" s="13">
        <v>0.80630000000000002</v>
      </c>
      <c r="I142" s="13">
        <v>1.643</v>
      </c>
      <c r="J142" s="13">
        <v>1.6826000000000001</v>
      </c>
      <c r="K142" s="13">
        <v>1.7233000000000001</v>
      </c>
      <c r="L142" s="7">
        <f>IFERROR((Definitivo[[#This Row],[2024]]-Definitivo[[#This Row],[2000]])/Definitivo[[#This Row],[2000]],0)</f>
        <v>1.2870603848706041</v>
      </c>
      <c r="M142" s="7">
        <f>IFERROR((Definitivo[[#This Row],[2024]]-Definitivo[[#This Row],[2022]])/Definitivo[[#This Row],[2022]],0)</f>
        <v>4.8874010955569105E-2</v>
      </c>
    </row>
    <row r="143" spans="1:13" ht="18" x14ac:dyDescent="0.3">
      <c r="A143" s="17" t="s">
        <v>147</v>
      </c>
      <c r="B143" s="16" t="s">
        <v>58</v>
      </c>
      <c r="C143" s="16" t="s">
        <v>59</v>
      </c>
      <c r="D143" s="15" t="s">
        <v>12</v>
      </c>
      <c r="E143" s="15" t="s">
        <v>13</v>
      </c>
      <c r="F143" s="13">
        <v>5501.2642181645369</v>
      </c>
      <c r="G143" s="13">
        <v>5394.6851252672423</v>
      </c>
      <c r="H143" s="13">
        <v>5530.0210426296462</v>
      </c>
      <c r="I143" s="13">
        <v>12798.165846531856</v>
      </c>
      <c r="J143" s="13">
        <v>13236.716396091662</v>
      </c>
      <c r="K143" s="13">
        <v>13631.204309721546</v>
      </c>
      <c r="L143" s="7">
        <f>IFERROR((Definitivo[[#This Row],[2024]]-Definitivo[[#This Row],[2000]])/Definitivo[[#This Row],[2000]],0)</f>
        <v>1.4778312346301945</v>
      </c>
      <c r="M143" s="7">
        <f>IFERROR((Definitivo[[#This Row],[2024]]-Definitivo[[#This Row],[2022]])/Definitivo[[#This Row],[2022]],0)</f>
        <v>6.5090456959145712E-2</v>
      </c>
    </row>
    <row r="144" spans="1:13" ht="18" x14ac:dyDescent="0.3">
      <c r="A144" s="17" t="s">
        <v>147</v>
      </c>
      <c r="B144" s="16" t="s">
        <v>58</v>
      </c>
      <c r="C144" s="16" t="s">
        <v>59</v>
      </c>
      <c r="D144" s="15" t="s">
        <v>16</v>
      </c>
      <c r="E144" s="15" t="s">
        <v>17</v>
      </c>
      <c r="F144" s="13">
        <v>67.649722469737824</v>
      </c>
      <c r="G144" s="13">
        <v>67.944397101655667</v>
      </c>
      <c r="H144" s="13">
        <v>68.23056330633932</v>
      </c>
      <c r="I144" s="13">
        <v>72.967558148223674</v>
      </c>
      <c r="J144" s="13">
        <v>73.32884010428252</v>
      </c>
      <c r="K144" s="13">
        <v>73.480380292779031</v>
      </c>
      <c r="L144" s="7">
        <f>IFERROR((Definitivo[[#This Row],[2024]]-Definitivo[[#This Row],[2000]])/Definitivo[[#This Row],[2000]],0)</f>
        <v>8.6188939291650044E-2</v>
      </c>
      <c r="M144" s="7">
        <f>IFERROR((Definitivo[[#This Row],[2024]]-Definitivo[[#This Row],[2022]])/Definitivo[[#This Row],[2022]],0)</f>
        <v>7.0280842277006079E-3</v>
      </c>
    </row>
    <row r="145" spans="1:13" ht="18" x14ac:dyDescent="0.3">
      <c r="A145" s="17" t="s">
        <v>147</v>
      </c>
      <c r="B145" s="16" t="s">
        <v>58</v>
      </c>
      <c r="C145" s="16" t="s">
        <v>59</v>
      </c>
      <c r="D145" s="15" t="s">
        <v>18</v>
      </c>
      <c r="E145" s="15" t="s">
        <v>19</v>
      </c>
      <c r="F145" s="13">
        <v>3037.6474136399002</v>
      </c>
      <c r="G145" s="13">
        <v>3073.3965378897001</v>
      </c>
      <c r="H145" s="13">
        <v>3073.0729395589001</v>
      </c>
      <c r="I145" s="13">
        <v>3286.4535691134001</v>
      </c>
      <c r="J145" s="13">
        <v>3203.6112592605</v>
      </c>
      <c r="K145" s="13">
        <v>3253.7696760577001</v>
      </c>
      <c r="L145" s="7">
        <f>IFERROR((Definitivo[[#This Row],[2024]]-Definitivo[[#This Row],[2000]])/Definitivo[[#This Row],[2000]],0)</f>
        <v>7.1147909216635719E-2</v>
      </c>
      <c r="M145" s="7">
        <f>IFERROR((Definitivo[[#This Row],[2024]]-Definitivo[[#This Row],[2022]])/Definitivo[[#This Row],[2022]],0)</f>
        <v>-9.945034173879215E-3</v>
      </c>
    </row>
    <row r="146" spans="1:13" ht="18" x14ac:dyDescent="0.3">
      <c r="A146" s="17" t="s">
        <v>147</v>
      </c>
      <c r="B146" s="16" t="s">
        <v>58</v>
      </c>
      <c r="C146" s="16" t="s">
        <v>59</v>
      </c>
      <c r="D146" s="15" t="s">
        <v>20</v>
      </c>
      <c r="E146" s="15" t="s">
        <v>21</v>
      </c>
      <c r="F146" s="13">
        <v>5781.0845053088997</v>
      </c>
      <c r="G146" s="13">
        <v>5810.2713159331997</v>
      </c>
      <c r="H146" s="13">
        <v>5961.8688239825997</v>
      </c>
      <c r="I146" s="13">
        <v>7964.5480454438002</v>
      </c>
      <c r="J146" s="13">
        <v>8202.7090737859999</v>
      </c>
      <c r="K146" s="13">
        <v>8299.2483057986992</v>
      </c>
      <c r="L146" s="7">
        <f>IFERROR((Definitivo[[#This Row],[2024]]-Definitivo[[#This Row],[2000]])/Definitivo[[#This Row],[2000]],0)</f>
        <v>0.43558674815725545</v>
      </c>
      <c r="M146" s="7">
        <f>IFERROR((Definitivo[[#This Row],[2024]]-Definitivo[[#This Row],[2022]])/Definitivo[[#This Row],[2022]],0)</f>
        <v>4.2023760600749673E-2</v>
      </c>
    </row>
    <row r="147" spans="1:13" ht="18" x14ac:dyDescent="0.3">
      <c r="A147" s="17" t="s">
        <v>147</v>
      </c>
      <c r="B147" s="16" t="s">
        <v>58</v>
      </c>
      <c r="C147" s="16" t="s">
        <v>59</v>
      </c>
      <c r="D147" s="15" t="s">
        <v>22</v>
      </c>
      <c r="E147" s="15" t="s">
        <v>23</v>
      </c>
      <c r="F147" s="13">
        <v>1595.0286063441999</v>
      </c>
      <c r="G147" s="13">
        <v>1619.3252311711001</v>
      </c>
      <c r="H147" s="13">
        <v>1698.9405601344999</v>
      </c>
      <c r="I147" s="13">
        <v>3227.0240780510999</v>
      </c>
      <c r="J147" s="13">
        <v>3226.5414089022001</v>
      </c>
      <c r="K147" s="13">
        <v>3192.3815420554001</v>
      </c>
      <c r="L147" s="7">
        <f>IFERROR((Definitivo[[#This Row],[2024]]-Definitivo[[#This Row],[2000]])/Definitivo[[#This Row],[2000]],0)</f>
        <v>1.0014572336557195</v>
      </c>
      <c r="M147" s="7">
        <f>IFERROR((Definitivo[[#This Row],[2024]]-Definitivo[[#This Row],[2022]])/Definitivo[[#This Row],[2022]],0)</f>
        <v>-1.0735134029933067E-2</v>
      </c>
    </row>
    <row r="148" spans="1:13" ht="18" x14ac:dyDescent="0.3">
      <c r="A148" s="17" t="s">
        <v>147</v>
      </c>
      <c r="B148" s="16" t="s">
        <v>58</v>
      </c>
      <c r="C148" s="16" t="s">
        <v>59</v>
      </c>
      <c r="D148" s="15" t="s">
        <v>24</v>
      </c>
      <c r="E148" s="15" t="s">
        <v>25</v>
      </c>
      <c r="F148" s="13">
        <v>107.02767802891999</v>
      </c>
      <c r="G148" s="13">
        <v>108.41556033102999</v>
      </c>
      <c r="H148" s="13">
        <v>113.34434811294</v>
      </c>
      <c r="I148" s="13">
        <v>140.59882085538001</v>
      </c>
      <c r="J148" s="13">
        <v>142.00671577711</v>
      </c>
      <c r="K148" s="13">
        <v>143.47393777721999</v>
      </c>
      <c r="L148" s="7">
        <f>IFERROR((Definitivo[[#This Row],[2024]]-Definitivo[[#This Row],[2000]])/Definitivo[[#This Row],[2000]],0)</f>
        <v>0.34053116370937092</v>
      </c>
      <c r="M148" s="7">
        <f>IFERROR((Definitivo[[#This Row],[2024]]-Definitivo[[#This Row],[2022]])/Definitivo[[#This Row],[2022]],0)</f>
        <v>2.0449082747267998E-2</v>
      </c>
    </row>
    <row r="149" spans="1:13" ht="18" x14ac:dyDescent="0.3">
      <c r="A149" s="17" t="s">
        <v>147</v>
      </c>
      <c r="B149" s="16" t="s">
        <v>58</v>
      </c>
      <c r="C149" s="16" t="s">
        <v>59</v>
      </c>
      <c r="D149" s="15" t="s">
        <v>26</v>
      </c>
      <c r="E149" s="15" t="s">
        <v>27</v>
      </c>
      <c r="F149" s="13">
        <v>11.27846769324</v>
      </c>
      <c r="G149" s="13">
        <v>11.191130768556</v>
      </c>
      <c r="H149" s="13">
        <v>11.016365374735001</v>
      </c>
      <c r="I149" s="13">
        <v>13.306829330154001</v>
      </c>
      <c r="J149" s="13">
        <v>13.332081690794</v>
      </c>
      <c r="K149" s="13">
        <v>13.368387774895</v>
      </c>
      <c r="L149" s="7">
        <f>IFERROR((Definitivo[[#This Row],[2024]]-Definitivo[[#This Row],[2000]])/Definitivo[[#This Row],[2000]],0)</f>
        <v>0.18530177489515179</v>
      </c>
      <c r="M149" s="7">
        <f>IFERROR((Definitivo[[#This Row],[2024]]-Definitivo[[#This Row],[2022]])/Definitivo[[#This Row],[2022]],0)</f>
        <v>4.6260790766666383E-3</v>
      </c>
    </row>
    <row r="150" spans="1:13" ht="18" x14ac:dyDescent="0.3">
      <c r="A150" s="17" t="s">
        <v>147</v>
      </c>
      <c r="B150" s="16" t="s">
        <v>58</v>
      </c>
      <c r="C150" s="16" t="s">
        <v>59</v>
      </c>
      <c r="D150" s="15" t="s">
        <v>28</v>
      </c>
      <c r="E150" s="15" t="s">
        <v>29</v>
      </c>
      <c r="F150" s="13">
        <v>25694.728676422001</v>
      </c>
      <c r="G150" s="13">
        <v>26000.902282104998</v>
      </c>
      <c r="H150" s="13">
        <v>26414.844014518301</v>
      </c>
      <c r="I150" s="13">
        <v>38548.118942762398</v>
      </c>
      <c r="J150" s="13">
        <v>39112.688790101303</v>
      </c>
      <c r="K150" s="13">
        <v>39632.664218542202</v>
      </c>
      <c r="L150" s="7">
        <f>IFERROR((Definitivo[[#This Row],[2024]]-Definitivo[[#This Row],[2000]])/Definitivo[[#This Row],[2000]],0)</f>
        <v>0.54244338275149528</v>
      </c>
      <c r="M150" s="7">
        <f>IFERROR((Definitivo[[#This Row],[2024]]-Definitivo[[#This Row],[2022]])/Definitivo[[#This Row],[2022]],0)</f>
        <v>2.8134843035795748E-2</v>
      </c>
    </row>
    <row r="151" spans="1:13" ht="18" x14ac:dyDescent="0.3">
      <c r="A151" s="17" t="s">
        <v>147</v>
      </c>
      <c r="B151" s="16" t="s">
        <v>58</v>
      </c>
      <c r="C151" s="16" t="s">
        <v>59</v>
      </c>
      <c r="D151" s="15" t="s">
        <v>30</v>
      </c>
      <c r="E151" s="15" t="s">
        <v>31</v>
      </c>
      <c r="F151" s="13">
        <v>30260000000</v>
      </c>
      <c r="G151" s="13">
        <v>28069000000</v>
      </c>
      <c r="H151" s="13">
        <v>24236000000</v>
      </c>
      <c r="I151" s="13">
        <v>27833000000</v>
      </c>
      <c r="J151" s="13">
        <v>27225000000</v>
      </c>
      <c r="K151" s="13">
        <v>26995000000</v>
      </c>
      <c r="L151" s="7">
        <f>IFERROR((Definitivo[[#This Row],[2024]]-Definitivo[[#This Row],[2000]])/Definitivo[[#This Row],[2000]],0)</f>
        <v>-0.10789821546596166</v>
      </c>
      <c r="M151" s="7">
        <f>IFERROR((Definitivo[[#This Row],[2024]]-Definitivo[[#This Row],[2022]])/Definitivo[[#This Row],[2022]],0)</f>
        <v>-3.0108145007724643E-2</v>
      </c>
    </row>
    <row r="152" spans="1:13" ht="18" x14ac:dyDescent="0.3">
      <c r="A152" s="17" t="s">
        <v>147</v>
      </c>
      <c r="B152" s="16" t="s">
        <v>58</v>
      </c>
      <c r="C152" s="16" t="s">
        <v>59</v>
      </c>
      <c r="D152" s="15" t="s">
        <v>32</v>
      </c>
      <c r="E152" s="15" t="s">
        <v>33</v>
      </c>
      <c r="F152" s="13">
        <v>19311000000</v>
      </c>
      <c r="G152" s="13">
        <v>18427000000</v>
      </c>
      <c r="H152" s="13">
        <v>17783000000</v>
      </c>
      <c r="I152" s="13">
        <v>33610000000</v>
      </c>
      <c r="J152" s="13">
        <v>29664000000</v>
      </c>
      <c r="K152" s="13">
        <v>28815000000</v>
      </c>
      <c r="L152" s="7">
        <f>IFERROR((Definitivo[[#This Row],[2024]]-Definitivo[[#This Row],[2000]])/Definitivo[[#This Row],[2000]],0)</f>
        <v>0.49215473046450209</v>
      </c>
      <c r="M152" s="7">
        <f>IFERROR((Definitivo[[#This Row],[2024]]-Definitivo[[#This Row],[2022]])/Definitivo[[#This Row],[2022]],0)</f>
        <v>-0.14266587325200833</v>
      </c>
    </row>
    <row r="153" spans="1:13" ht="18" x14ac:dyDescent="0.3">
      <c r="A153" s="17" t="s">
        <v>147</v>
      </c>
      <c r="B153" s="16" t="s">
        <v>58</v>
      </c>
      <c r="C153" s="16" t="s">
        <v>59</v>
      </c>
      <c r="D153" s="15" t="s">
        <v>36</v>
      </c>
      <c r="E153" s="15" t="s">
        <v>37</v>
      </c>
      <c r="F153" s="13">
        <v>1244.7464566440001</v>
      </c>
      <c r="G153" s="13">
        <v>1254.7120283811</v>
      </c>
      <c r="H153" s="13">
        <v>1270.1775076253</v>
      </c>
      <c r="I153" s="13">
        <v>1664.6576571159001</v>
      </c>
      <c r="J153" s="13">
        <v>1648.3467519858</v>
      </c>
      <c r="K153" s="13">
        <v>1651.6650100979</v>
      </c>
      <c r="L153" s="7">
        <f>IFERROR((Definitivo[[#This Row],[2024]]-Definitivo[[#This Row],[2000]])/Definitivo[[#This Row],[2000]],0)</f>
        <v>0.32690878634915399</v>
      </c>
      <c r="M153" s="7">
        <f>IFERROR((Definitivo[[#This Row],[2024]]-Definitivo[[#This Row],[2022]])/Definitivo[[#This Row],[2022]],0)</f>
        <v>-7.8049963981846335E-3</v>
      </c>
    </row>
    <row r="154" spans="1:13" ht="18" x14ac:dyDescent="0.3">
      <c r="A154" s="18" t="s">
        <v>147</v>
      </c>
      <c r="B154" s="19" t="s">
        <v>58</v>
      </c>
      <c r="C154" s="19" t="s">
        <v>59</v>
      </c>
      <c r="D154" s="20" t="s">
        <v>38</v>
      </c>
      <c r="E154" s="20" t="s">
        <v>39</v>
      </c>
      <c r="F154" s="21">
        <v>84.299379417799997</v>
      </c>
      <c r="G154" s="21">
        <v>86.457716595378002</v>
      </c>
      <c r="H154" s="21">
        <v>87.561408409338995</v>
      </c>
      <c r="I154" s="21">
        <v>133.70956914077999</v>
      </c>
      <c r="J154" s="21">
        <v>135.73901167802001</v>
      </c>
      <c r="K154" s="21">
        <v>137.84405173061</v>
      </c>
      <c r="L154" s="22">
        <f>IFERROR((Definitivo[[#This Row],[2024]]-Definitivo[[#This Row],[2000]])/Definitivo[[#This Row],[2000]],0)</f>
        <v>0.6351727934725927</v>
      </c>
      <c r="M154" s="22">
        <f>IFERROR((Definitivo[[#This Row],[2024]]-Definitivo[[#This Row],[2022]])/Definitivo[[#This Row],[2022]],0)</f>
        <v>3.092136648407643E-2</v>
      </c>
    </row>
  </sheetData>
  <mergeCells count="22">
    <mergeCell ref="O39:S45"/>
    <mergeCell ref="O16:S16"/>
    <mergeCell ref="O25:S25"/>
    <mergeCell ref="O26:S29"/>
    <mergeCell ref="O31:S31"/>
    <mergeCell ref="O32:S36"/>
    <mergeCell ref="O38:S38"/>
    <mergeCell ref="U3:Y3"/>
    <mergeCell ref="O4:S14"/>
    <mergeCell ref="O17:S23"/>
    <mergeCell ref="O1:S1"/>
    <mergeCell ref="U1:Y1"/>
    <mergeCell ref="O3:S3"/>
    <mergeCell ref="U4:Y9"/>
    <mergeCell ref="U19:Y24"/>
    <mergeCell ref="U27:Y30"/>
    <mergeCell ref="U33:Y38"/>
    <mergeCell ref="U18:Y18"/>
    <mergeCell ref="U11:Y11"/>
    <mergeCell ref="U12:Y16"/>
    <mergeCell ref="U26:Y26"/>
    <mergeCell ref="U32:Y32"/>
  </mergeCells>
  <phoneticPr fontId="2" type="noConversion"/>
  <conditionalFormatting sqref="L2:M154">
    <cfRule type="iconSet" priority="3">
      <iconSet iconSet="3Arrows">
        <cfvo type="percent" val="0"/>
        <cfvo type="num" val="0"/>
        <cfvo type="num" val="0" gte="0"/>
      </iconSet>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2113-AFEE-4D3F-B9DB-9F989DBE303E}">
  <dimension ref="A1:G11"/>
  <sheetViews>
    <sheetView workbookViewId="0">
      <selection activeCell="G16" sqref="G16"/>
    </sheetView>
  </sheetViews>
  <sheetFormatPr defaultRowHeight="14.4" x14ac:dyDescent="0.3"/>
  <cols>
    <col min="1" max="1" width="17.21875" bestFit="1" customWidth="1"/>
    <col min="2" max="7" width="12.77734375" bestFit="1" customWidth="1"/>
  </cols>
  <sheetData>
    <row r="1" spans="1:7" x14ac:dyDescent="0.3">
      <c r="A1" s="123" t="s">
        <v>393</v>
      </c>
      <c r="B1" s="124"/>
      <c r="C1" s="124"/>
      <c r="D1" s="124"/>
      <c r="E1" s="124"/>
      <c r="F1" s="124"/>
      <c r="G1" s="125"/>
    </row>
    <row r="2" spans="1:7" ht="15" thickBot="1" x14ac:dyDescent="0.35">
      <c r="A2" s="126"/>
      <c r="B2" s="127"/>
      <c r="C2" s="127"/>
      <c r="D2" s="127"/>
      <c r="E2" s="127"/>
      <c r="F2" s="127"/>
      <c r="G2" s="128"/>
    </row>
    <row r="3" spans="1:7" x14ac:dyDescent="0.3">
      <c r="A3" s="3" t="s">
        <v>385</v>
      </c>
      <c r="B3" t="s">
        <v>387</v>
      </c>
      <c r="C3" t="s">
        <v>388</v>
      </c>
      <c r="D3" t="s">
        <v>389</v>
      </c>
      <c r="E3" t="s">
        <v>390</v>
      </c>
      <c r="F3" t="s">
        <v>391</v>
      </c>
      <c r="G3" t="s">
        <v>392</v>
      </c>
    </row>
    <row r="4" spans="1:7" x14ac:dyDescent="0.3">
      <c r="A4" s="4" t="s">
        <v>68</v>
      </c>
      <c r="B4">
        <v>1195386699.9670758</v>
      </c>
      <c r="C4">
        <v>1413909394.7341473</v>
      </c>
      <c r="D4">
        <v>1694341200.029542</v>
      </c>
      <c r="E4">
        <v>4837227922.1749716</v>
      </c>
      <c r="F4">
        <v>4823484694.9227905</v>
      </c>
      <c r="G4">
        <v>4727441535.305747</v>
      </c>
    </row>
    <row r="5" spans="1:7" x14ac:dyDescent="0.3">
      <c r="A5" s="4" t="s">
        <v>66</v>
      </c>
      <c r="B5">
        <v>18444242787.417698</v>
      </c>
      <c r="C5">
        <v>20296663342.834763</v>
      </c>
      <c r="D5">
        <v>21623294972.251675</v>
      </c>
      <c r="E5">
        <v>183321759744.30988</v>
      </c>
      <c r="F5">
        <v>197743876042.88983</v>
      </c>
      <c r="G5">
        <v>210307520378.03381</v>
      </c>
    </row>
    <row r="6" spans="1:7" x14ac:dyDescent="0.3">
      <c r="A6" s="4" t="s">
        <v>71</v>
      </c>
      <c r="B6">
        <v>1470453221.4849916</v>
      </c>
      <c r="C6">
        <v>1459448444.1299882</v>
      </c>
      <c r="D6">
        <v>1500676121.8185527</v>
      </c>
      <c r="E6">
        <v>2452977702.3306928</v>
      </c>
      <c r="F6">
        <v>2736411420.503933</v>
      </c>
      <c r="G6">
        <v>3254490056.493186</v>
      </c>
    </row>
    <row r="7" spans="1:7" x14ac:dyDescent="0.3">
      <c r="A7" s="4" t="s">
        <v>147</v>
      </c>
      <c r="B7">
        <v>2253229326.4322052</v>
      </c>
      <c r="C7">
        <v>2113456613.5862811</v>
      </c>
      <c r="D7">
        <v>1909956648.4135559</v>
      </c>
      <c r="E7">
        <v>2792866869.018887</v>
      </c>
      <c r="F7">
        <v>2585866914.8598347</v>
      </c>
      <c r="G7">
        <v>2536821501.3315892</v>
      </c>
    </row>
    <row r="8" spans="1:7" x14ac:dyDescent="0.3">
      <c r="A8" s="4" t="s">
        <v>78</v>
      </c>
      <c r="B8">
        <v>27341364105.493458</v>
      </c>
      <c r="C8">
        <v>28159221361.649471</v>
      </c>
      <c r="D8">
        <v>31988848772.054729</v>
      </c>
      <c r="E8">
        <v>73064690347.519272</v>
      </c>
      <c r="F8">
        <v>77325732356.529236</v>
      </c>
      <c r="G8">
        <v>84335840983.626678</v>
      </c>
    </row>
    <row r="9" spans="1:7" x14ac:dyDescent="0.3">
      <c r="A9" s="4" t="s">
        <v>74</v>
      </c>
      <c r="B9">
        <v>1072668538.7501707</v>
      </c>
      <c r="C9">
        <v>1236043358.0796881</v>
      </c>
      <c r="D9">
        <v>1272043409.2377753</v>
      </c>
      <c r="E9">
        <v>3965804106.9303088</v>
      </c>
      <c r="F9">
        <v>4100357014.8625278</v>
      </c>
      <c r="G9">
        <v>4365734602.8190374</v>
      </c>
    </row>
    <row r="10" spans="1:7" x14ac:dyDescent="0.3">
      <c r="A10" s="4" t="s">
        <v>87</v>
      </c>
      <c r="B10">
        <v>1736583703.8342466</v>
      </c>
      <c r="C10">
        <v>2187916988.3557458</v>
      </c>
      <c r="D10">
        <v>2370416962.1877646</v>
      </c>
      <c r="E10">
        <v>8878967521.4307766</v>
      </c>
      <c r="F10">
        <v>9083667613.72645</v>
      </c>
      <c r="G10">
        <v>9450559276.0892887</v>
      </c>
    </row>
    <row r="11" spans="1:7" x14ac:dyDescent="0.3">
      <c r="A11" s="4" t="s">
        <v>386</v>
      </c>
      <c r="B11">
        <v>8574289517.1881828</v>
      </c>
      <c r="C11">
        <v>9224284765.2720737</v>
      </c>
      <c r="D11">
        <v>9933380076.4015408</v>
      </c>
      <c r="E11">
        <v>62030793731.096344</v>
      </c>
      <c r="F11">
        <v>66674895130.210327</v>
      </c>
      <c r="G11">
        <v>71087588741.717896</v>
      </c>
    </row>
  </sheetData>
  <mergeCells count="1">
    <mergeCell ref="A1:G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EA99-7F12-4986-9CF3-7325D77E885C}">
  <dimension ref="A1:B314"/>
  <sheetViews>
    <sheetView workbookViewId="0">
      <selection activeCell="G15" sqref="G15"/>
    </sheetView>
  </sheetViews>
  <sheetFormatPr defaultRowHeight="14.4" x14ac:dyDescent="0.3"/>
  <cols>
    <col min="1" max="1" width="61.44140625" bestFit="1" customWidth="1"/>
    <col min="2" max="2" width="16.88671875" bestFit="1" customWidth="1"/>
  </cols>
  <sheetData>
    <row r="1" spans="1:2" x14ac:dyDescent="0.3">
      <c r="A1" t="s">
        <v>0</v>
      </c>
      <c r="B1" t="s">
        <v>64</v>
      </c>
    </row>
    <row r="2" spans="1:2" x14ac:dyDescent="0.3">
      <c r="A2" t="s">
        <v>65</v>
      </c>
      <c r="B2" t="s">
        <v>66</v>
      </c>
    </row>
    <row r="3" spans="1:2" x14ac:dyDescent="0.3">
      <c r="A3" t="s">
        <v>67</v>
      </c>
      <c r="B3" t="s">
        <v>68</v>
      </c>
    </row>
    <row r="4" spans="1:2" x14ac:dyDescent="0.3">
      <c r="A4" t="s">
        <v>69</v>
      </c>
      <c r="B4" t="s">
        <v>68</v>
      </c>
    </row>
    <row r="5" spans="1:2" x14ac:dyDescent="0.3">
      <c r="A5" t="s">
        <v>70</v>
      </c>
      <c r="B5" t="s">
        <v>71</v>
      </c>
    </row>
    <row r="6" spans="1:2" x14ac:dyDescent="0.3">
      <c r="A6" t="s">
        <v>72</v>
      </c>
      <c r="B6" t="s">
        <v>68</v>
      </c>
    </row>
    <row r="7" spans="1:2" x14ac:dyDescent="0.3">
      <c r="A7" t="s">
        <v>73</v>
      </c>
      <c r="B7" t="s">
        <v>74</v>
      </c>
    </row>
    <row r="8" spans="1:2" x14ac:dyDescent="0.3">
      <c r="A8" t="s">
        <v>75</v>
      </c>
      <c r="B8" t="s">
        <v>71</v>
      </c>
    </row>
    <row r="9" spans="1:2" x14ac:dyDescent="0.3">
      <c r="A9" t="s">
        <v>76</v>
      </c>
      <c r="B9" t="s">
        <v>68</v>
      </c>
    </row>
    <row r="10" spans="1:2" x14ac:dyDescent="0.3">
      <c r="A10" t="s">
        <v>77</v>
      </c>
      <c r="B10" t="s">
        <v>78</v>
      </c>
    </row>
    <row r="11" spans="1:2" x14ac:dyDescent="0.3">
      <c r="A11" t="s">
        <v>79</v>
      </c>
      <c r="B11" t="s">
        <v>80</v>
      </c>
    </row>
    <row r="12" spans="1:2" x14ac:dyDescent="0.3">
      <c r="A12" t="s">
        <v>81</v>
      </c>
      <c r="B12" t="s">
        <v>78</v>
      </c>
    </row>
    <row r="13" spans="1:2" x14ac:dyDescent="0.3">
      <c r="A13" t="s">
        <v>82</v>
      </c>
      <c r="B13" t="s">
        <v>83</v>
      </c>
    </row>
    <row r="14" spans="1:2" x14ac:dyDescent="0.3">
      <c r="A14" t="s">
        <v>84</v>
      </c>
      <c r="B14" t="s">
        <v>64</v>
      </c>
    </row>
    <row r="15" spans="1:2" x14ac:dyDescent="0.3">
      <c r="A15" t="s">
        <v>85</v>
      </c>
      <c r="B15" t="s">
        <v>64</v>
      </c>
    </row>
    <row r="16" spans="1:2" x14ac:dyDescent="0.3">
      <c r="A16" t="s">
        <v>86</v>
      </c>
      <c r="B16" t="s">
        <v>87</v>
      </c>
    </row>
    <row r="17" spans="1:2" x14ac:dyDescent="0.3">
      <c r="A17" t="s">
        <v>88</v>
      </c>
      <c r="B17" t="s">
        <v>89</v>
      </c>
    </row>
    <row r="18" spans="1:2" x14ac:dyDescent="0.3">
      <c r="A18" t="s">
        <v>90</v>
      </c>
      <c r="B18" t="s">
        <v>78</v>
      </c>
    </row>
    <row r="19" spans="1:2" x14ac:dyDescent="0.3">
      <c r="A19" t="s">
        <v>56</v>
      </c>
      <c r="B19" t="s">
        <v>74</v>
      </c>
    </row>
    <row r="20" spans="1:2" x14ac:dyDescent="0.3">
      <c r="A20" t="s">
        <v>91</v>
      </c>
      <c r="B20" t="s">
        <v>71</v>
      </c>
    </row>
    <row r="21" spans="1:2" x14ac:dyDescent="0.3">
      <c r="A21" t="s">
        <v>92</v>
      </c>
      <c r="B21" t="s">
        <v>89</v>
      </c>
    </row>
    <row r="22" spans="1:2" x14ac:dyDescent="0.3">
      <c r="A22" t="s">
        <v>93</v>
      </c>
      <c r="B22" t="s">
        <v>78</v>
      </c>
    </row>
    <row r="23" spans="1:2" x14ac:dyDescent="0.3">
      <c r="A23" t="s">
        <v>94</v>
      </c>
      <c r="B23" t="s">
        <v>78</v>
      </c>
    </row>
    <row r="24" spans="1:2" x14ac:dyDescent="0.3">
      <c r="A24" t="s">
        <v>95</v>
      </c>
      <c r="B24" t="s">
        <v>66</v>
      </c>
    </row>
    <row r="25" spans="1:2" x14ac:dyDescent="0.3">
      <c r="A25" t="s">
        <v>96</v>
      </c>
      <c r="B25" t="s">
        <v>66</v>
      </c>
    </row>
    <row r="26" spans="1:2" x14ac:dyDescent="0.3">
      <c r="A26" t="s">
        <v>97</v>
      </c>
      <c r="B26" t="s">
        <v>78</v>
      </c>
    </row>
    <row r="27" spans="1:2" x14ac:dyDescent="0.3">
      <c r="A27" t="s">
        <v>98</v>
      </c>
      <c r="B27" t="s">
        <v>71</v>
      </c>
    </row>
    <row r="28" spans="1:2" x14ac:dyDescent="0.3">
      <c r="A28" t="s">
        <v>99</v>
      </c>
      <c r="B28" t="s">
        <v>71</v>
      </c>
    </row>
    <row r="29" spans="1:2" x14ac:dyDescent="0.3">
      <c r="A29" t="s">
        <v>100</v>
      </c>
      <c r="B29" t="s">
        <v>78</v>
      </c>
    </row>
    <row r="30" spans="1:2" x14ac:dyDescent="0.3">
      <c r="A30" t="s">
        <v>101</v>
      </c>
      <c r="B30" t="s">
        <v>68</v>
      </c>
    </row>
    <row r="31" spans="1:2" x14ac:dyDescent="0.3">
      <c r="A31" t="s">
        <v>102</v>
      </c>
      <c r="B31" t="s">
        <v>78</v>
      </c>
    </row>
    <row r="32" spans="1:2" x14ac:dyDescent="0.3">
      <c r="A32" t="s">
        <v>103</v>
      </c>
      <c r="B32" t="s">
        <v>66</v>
      </c>
    </row>
    <row r="33" spans="1:2" x14ac:dyDescent="0.3">
      <c r="A33" t="s">
        <v>104</v>
      </c>
      <c r="B33" t="s">
        <v>87</v>
      </c>
    </row>
    <row r="34" spans="1:2" x14ac:dyDescent="0.3">
      <c r="A34" t="s">
        <v>105</v>
      </c>
      <c r="B34" t="s">
        <v>71</v>
      </c>
    </row>
    <row r="35" spans="1:2" x14ac:dyDescent="0.3">
      <c r="A35" t="s">
        <v>106</v>
      </c>
      <c r="B35" t="s">
        <v>68</v>
      </c>
    </row>
    <row r="36" spans="1:2" x14ac:dyDescent="0.3">
      <c r="A36" t="s">
        <v>44</v>
      </c>
      <c r="B36" t="s">
        <v>87</v>
      </c>
    </row>
    <row r="37" spans="1:2" x14ac:dyDescent="0.3">
      <c r="A37" t="s">
        <v>107</v>
      </c>
      <c r="B37" t="s">
        <v>66</v>
      </c>
    </row>
    <row r="38" spans="1:2" x14ac:dyDescent="0.3">
      <c r="A38" t="s">
        <v>108</v>
      </c>
      <c r="B38" t="s">
        <v>78</v>
      </c>
    </row>
    <row r="39" spans="1:2" x14ac:dyDescent="0.3">
      <c r="A39" t="s">
        <v>109</v>
      </c>
      <c r="B39" t="s">
        <v>66</v>
      </c>
    </row>
    <row r="40" spans="1:2" x14ac:dyDescent="0.3">
      <c r="A40" t="s">
        <v>110</v>
      </c>
      <c r="B40" t="s">
        <v>71</v>
      </c>
    </row>
    <row r="41" spans="1:2" x14ac:dyDescent="0.3">
      <c r="A41" t="s">
        <v>111</v>
      </c>
      <c r="B41" t="s">
        <v>68</v>
      </c>
    </row>
    <row r="42" spans="1:2" x14ac:dyDescent="0.3">
      <c r="A42" t="s">
        <v>112</v>
      </c>
      <c r="B42" t="s">
        <v>68</v>
      </c>
    </row>
    <row r="43" spans="1:2" x14ac:dyDescent="0.3">
      <c r="A43" t="s">
        <v>113</v>
      </c>
      <c r="B43" t="s">
        <v>68</v>
      </c>
    </row>
    <row r="44" spans="1:2" x14ac:dyDescent="0.3">
      <c r="A44" t="s">
        <v>114</v>
      </c>
      <c r="B44" t="s">
        <v>66</v>
      </c>
    </row>
    <row r="45" spans="1:2" x14ac:dyDescent="0.3">
      <c r="A45" t="s">
        <v>115</v>
      </c>
      <c r="B45" t="s">
        <v>68</v>
      </c>
    </row>
    <row r="46" spans="1:2" x14ac:dyDescent="0.3">
      <c r="A46" t="s">
        <v>116</v>
      </c>
      <c r="B46" t="s">
        <v>78</v>
      </c>
    </row>
    <row r="47" spans="1:2" x14ac:dyDescent="0.3">
      <c r="A47" t="s">
        <v>117</v>
      </c>
      <c r="B47" t="s">
        <v>78</v>
      </c>
    </row>
    <row r="48" spans="1:2" x14ac:dyDescent="0.3">
      <c r="A48" t="s">
        <v>118</v>
      </c>
      <c r="B48" t="s">
        <v>78</v>
      </c>
    </row>
    <row r="49" spans="1:2" x14ac:dyDescent="0.3">
      <c r="A49" t="s">
        <v>119</v>
      </c>
      <c r="B49" t="s">
        <v>68</v>
      </c>
    </row>
    <row r="50" spans="1:2" x14ac:dyDescent="0.3">
      <c r="A50" t="s">
        <v>120</v>
      </c>
      <c r="B50" t="s">
        <v>71</v>
      </c>
    </row>
    <row r="51" spans="1:2" x14ac:dyDescent="0.3">
      <c r="A51" t="s">
        <v>121</v>
      </c>
      <c r="B51" t="s">
        <v>68</v>
      </c>
    </row>
    <row r="52" spans="1:2" x14ac:dyDescent="0.3">
      <c r="A52" t="s">
        <v>122</v>
      </c>
      <c r="B52" t="s">
        <v>71</v>
      </c>
    </row>
    <row r="53" spans="1:2" x14ac:dyDescent="0.3">
      <c r="A53" t="s">
        <v>123</v>
      </c>
      <c r="B53" t="s">
        <v>87</v>
      </c>
    </row>
    <row r="54" spans="1:2" x14ac:dyDescent="0.3">
      <c r="A54" t="s">
        <v>40</v>
      </c>
      <c r="B54" t="s">
        <v>66</v>
      </c>
    </row>
    <row r="55" spans="1:2" x14ac:dyDescent="0.3">
      <c r="A55" t="s">
        <v>124</v>
      </c>
      <c r="B55" t="s">
        <v>74</v>
      </c>
    </row>
    <row r="56" spans="1:2" x14ac:dyDescent="0.3">
      <c r="A56" t="s">
        <v>125</v>
      </c>
      <c r="B56" t="s">
        <v>74</v>
      </c>
    </row>
    <row r="57" spans="1:2" x14ac:dyDescent="0.3">
      <c r="A57" t="s">
        <v>126</v>
      </c>
      <c r="B57" t="s">
        <v>87</v>
      </c>
    </row>
    <row r="58" spans="1:2" x14ac:dyDescent="0.3">
      <c r="A58" t="s">
        <v>127</v>
      </c>
      <c r="B58" t="s">
        <v>68</v>
      </c>
    </row>
    <row r="59" spans="1:2" x14ac:dyDescent="0.3">
      <c r="A59" t="s">
        <v>128</v>
      </c>
      <c r="B59" t="s">
        <v>68</v>
      </c>
    </row>
    <row r="60" spans="1:2" x14ac:dyDescent="0.3">
      <c r="A60" t="s">
        <v>129</v>
      </c>
      <c r="B60" t="s">
        <v>68</v>
      </c>
    </row>
    <row r="61" spans="1:2" x14ac:dyDescent="0.3">
      <c r="A61" t="s">
        <v>130</v>
      </c>
      <c r="B61" t="s">
        <v>68</v>
      </c>
    </row>
    <row r="62" spans="1:2" x14ac:dyDescent="0.3">
      <c r="A62" t="s">
        <v>131</v>
      </c>
      <c r="B62" t="s">
        <v>68</v>
      </c>
    </row>
    <row r="63" spans="1:2" x14ac:dyDescent="0.3">
      <c r="A63" t="s">
        <v>132</v>
      </c>
      <c r="B63" t="s">
        <v>74</v>
      </c>
    </row>
    <row r="64" spans="1:2" x14ac:dyDescent="0.3">
      <c r="A64" t="s">
        <v>133</v>
      </c>
      <c r="B64" t="s">
        <v>78</v>
      </c>
    </row>
    <row r="65" spans="1:2" x14ac:dyDescent="0.3">
      <c r="A65" t="s">
        <v>134</v>
      </c>
      <c r="B65" t="s">
        <v>68</v>
      </c>
    </row>
    <row r="66" spans="1:2" x14ac:dyDescent="0.3">
      <c r="A66" t="s">
        <v>135</v>
      </c>
      <c r="B66" t="s">
        <v>68</v>
      </c>
    </row>
    <row r="67" spans="1:2" x14ac:dyDescent="0.3">
      <c r="A67" t="s">
        <v>136</v>
      </c>
      <c r="B67" t="s">
        <v>71</v>
      </c>
    </row>
    <row r="68" spans="1:2" x14ac:dyDescent="0.3">
      <c r="A68" t="s">
        <v>137</v>
      </c>
      <c r="B68" t="s">
        <v>78</v>
      </c>
    </row>
    <row r="69" spans="1:2" x14ac:dyDescent="0.3">
      <c r="A69" t="s">
        <v>138</v>
      </c>
      <c r="B69" t="s">
        <v>78</v>
      </c>
    </row>
    <row r="70" spans="1:2" x14ac:dyDescent="0.3">
      <c r="A70" t="s">
        <v>139</v>
      </c>
      <c r="B70" t="s">
        <v>78</v>
      </c>
    </row>
    <row r="71" spans="1:2" x14ac:dyDescent="0.3">
      <c r="A71" t="s">
        <v>140</v>
      </c>
      <c r="B71" t="s">
        <v>89</v>
      </c>
    </row>
    <row r="72" spans="1:2" x14ac:dyDescent="0.3">
      <c r="A72" t="s">
        <v>141</v>
      </c>
      <c r="B72" t="s">
        <v>71</v>
      </c>
    </row>
    <row r="73" spans="1:2" x14ac:dyDescent="0.3">
      <c r="A73" t="s">
        <v>142</v>
      </c>
      <c r="B73" t="s">
        <v>71</v>
      </c>
    </row>
    <row r="74" spans="1:2" x14ac:dyDescent="0.3">
      <c r="A74" t="s">
        <v>143</v>
      </c>
      <c r="B74" t="s">
        <v>68</v>
      </c>
    </row>
    <row r="75" spans="1:2" x14ac:dyDescent="0.3">
      <c r="A75" t="s">
        <v>144</v>
      </c>
      <c r="B75" t="s">
        <v>78</v>
      </c>
    </row>
    <row r="76" spans="1:2" x14ac:dyDescent="0.3">
      <c r="A76" t="s">
        <v>145</v>
      </c>
      <c r="B76" t="s">
        <v>78</v>
      </c>
    </row>
    <row r="77" spans="1:2" x14ac:dyDescent="0.3">
      <c r="A77" t="s">
        <v>146</v>
      </c>
      <c r="B77" t="s">
        <v>147</v>
      </c>
    </row>
    <row r="78" spans="1:2" x14ac:dyDescent="0.3">
      <c r="A78" t="s">
        <v>148</v>
      </c>
      <c r="B78" t="s">
        <v>149</v>
      </c>
    </row>
    <row r="79" spans="1:2" x14ac:dyDescent="0.3">
      <c r="A79" t="s">
        <v>150</v>
      </c>
      <c r="B79" t="s">
        <v>149</v>
      </c>
    </row>
    <row r="80" spans="1:2" x14ac:dyDescent="0.3">
      <c r="A80" t="s">
        <v>151</v>
      </c>
      <c r="B80" t="s">
        <v>149</v>
      </c>
    </row>
    <row r="81" spans="1:2" x14ac:dyDescent="0.3">
      <c r="A81" t="s">
        <v>152</v>
      </c>
      <c r="B81" t="s">
        <v>87</v>
      </c>
    </row>
    <row r="82" spans="1:2" x14ac:dyDescent="0.3">
      <c r="A82" t="s">
        <v>153</v>
      </c>
      <c r="B82" t="s">
        <v>154</v>
      </c>
    </row>
    <row r="83" spans="1:2" x14ac:dyDescent="0.3">
      <c r="A83" t="s">
        <v>155</v>
      </c>
      <c r="B83" t="s">
        <v>68</v>
      </c>
    </row>
    <row r="84" spans="1:2" x14ac:dyDescent="0.3">
      <c r="A84" t="s">
        <v>156</v>
      </c>
      <c r="B84" t="s">
        <v>78</v>
      </c>
    </row>
    <row r="85" spans="1:2" x14ac:dyDescent="0.3">
      <c r="A85" t="s">
        <v>157</v>
      </c>
      <c r="B85" t="s">
        <v>68</v>
      </c>
    </row>
    <row r="86" spans="1:2" x14ac:dyDescent="0.3">
      <c r="A86" t="s">
        <v>158</v>
      </c>
      <c r="B86" t="s">
        <v>68</v>
      </c>
    </row>
    <row r="87" spans="1:2" x14ac:dyDescent="0.3">
      <c r="A87" t="s">
        <v>159</v>
      </c>
      <c r="B87" t="s">
        <v>71</v>
      </c>
    </row>
    <row r="88" spans="1:2" x14ac:dyDescent="0.3">
      <c r="A88" t="s">
        <v>160</v>
      </c>
      <c r="B88" t="s">
        <v>68</v>
      </c>
    </row>
    <row r="89" spans="1:2" x14ac:dyDescent="0.3">
      <c r="A89" t="s">
        <v>161</v>
      </c>
      <c r="B89" t="s">
        <v>68</v>
      </c>
    </row>
    <row r="90" spans="1:2" x14ac:dyDescent="0.3">
      <c r="A90" t="s">
        <v>162</v>
      </c>
      <c r="B90" t="s">
        <v>71</v>
      </c>
    </row>
    <row r="91" spans="1:2" x14ac:dyDescent="0.3">
      <c r="A91" t="s">
        <v>163</v>
      </c>
      <c r="B91" t="s">
        <v>164</v>
      </c>
    </row>
    <row r="92" spans="1:2" x14ac:dyDescent="0.3">
      <c r="A92" t="s">
        <v>165</v>
      </c>
      <c r="B92" t="s">
        <v>164</v>
      </c>
    </row>
    <row r="93" spans="1:2" x14ac:dyDescent="0.3">
      <c r="A93" t="s">
        <v>166</v>
      </c>
      <c r="B93" t="s">
        <v>164</v>
      </c>
    </row>
    <row r="94" spans="1:2" x14ac:dyDescent="0.3">
      <c r="A94" t="s">
        <v>167</v>
      </c>
      <c r="B94" t="s">
        <v>71</v>
      </c>
    </row>
    <row r="95" spans="1:2" x14ac:dyDescent="0.3">
      <c r="A95" t="s">
        <v>168</v>
      </c>
      <c r="B95" t="s">
        <v>87</v>
      </c>
    </row>
    <row r="96" spans="1:2" x14ac:dyDescent="0.3">
      <c r="A96" t="s">
        <v>169</v>
      </c>
      <c r="B96" t="s">
        <v>71</v>
      </c>
    </row>
    <row r="97" spans="1:2" x14ac:dyDescent="0.3">
      <c r="A97" t="s">
        <v>170</v>
      </c>
      <c r="B97" t="s">
        <v>74</v>
      </c>
    </row>
    <row r="98" spans="1:2" x14ac:dyDescent="0.3">
      <c r="A98" t="s">
        <v>171</v>
      </c>
      <c r="B98" t="s">
        <v>71</v>
      </c>
    </row>
    <row r="99" spans="1:2" x14ac:dyDescent="0.3">
      <c r="A99" t="s">
        <v>54</v>
      </c>
      <c r="B99" t="s">
        <v>147</v>
      </c>
    </row>
    <row r="100" spans="1:2" x14ac:dyDescent="0.3">
      <c r="A100" t="s">
        <v>172</v>
      </c>
      <c r="B100" t="s">
        <v>71</v>
      </c>
    </row>
    <row r="101" spans="1:2" x14ac:dyDescent="0.3">
      <c r="A101" t="s">
        <v>173</v>
      </c>
      <c r="B101" t="s">
        <v>87</v>
      </c>
    </row>
    <row r="102" spans="1:2" x14ac:dyDescent="0.3">
      <c r="A102" t="s">
        <v>174</v>
      </c>
      <c r="B102" t="s">
        <v>74</v>
      </c>
    </row>
    <row r="103" spans="1:2" x14ac:dyDescent="0.3">
      <c r="A103" t="s">
        <v>175</v>
      </c>
      <c r="B103" t="s">
        <v>68</v>
      </c>
    </row>
    <row r="104" spans="1:2" x14ac:dyDescent="0.3">
      <c r="A104" t="s">
        <v>176</v>
      </c>
      <c r="B104" t="s">
        <v>68</v>
      </c>
    </row>
    <row r="105" spans="1:2" x14ac:dyDescent="0.3">
      <c r="A105" t="s">
        <v>177</v>
      </c>
      <c r="B105" t="s">
        <v>68</v>
      </c>
    </row>
    <row r="106" spans="1:2" x14ac:dyDescent="0.3">
      <c r="A106" t="s">
        <v>178</v>
      </c>
      <c r="B106" t="s">
        <v>89</v>
      </c>
    </row>
    <row r="107" spans="1:2" x14ac:dyDescent="0.3">
      <c r="A107" t="s">
        <v>46</v>
      </c>
      <c r="B107" t="s">
        <v>71</v>
      </c>
    </row>
    <row r="108" spans="1:2" x14ac:dyDescent="0.3">
      <c r="A108" t="s">
        <v>179</v>
      </c>
      <c r="B108" t="s">
        <v>68</v>
      </c>
    </row>
    <row r="109" spans="1:2" x14ac:dyDescent="0.3">
      <c r="A109" t="s">
        <v>180</v>
      </c>
      <c r="B109" t="s">
        <v>71</v>
      </c>
    </row>
    <row r="110" spans="1:2" x14ac:dyDescent="0.3">
      <c r="A110" t="s">
        <v>181</v>
      </c>
      <c r="B110" t="s">
        <v>71</v>
      </c>
    </row>
    <row r="111" spans="1:2" x14ac:dyDescent="0.3">
      <c r="A111" t="s">
        <v>182</v>
      </c>
      <c r="B111" t="s">
        <v>78</v>
      </c>
    </row>
    <row r="112" spans="1:2" x14ac:dyDescent="0.3">
      <c r="A112" t="s">
        <v>183</v>
      </c>
      <c r="B112" t="s">
        <v>78</v>
      </c>
    </row>
    <row r="113" spans="1:2" x14ac:dyDescent="0.3">
      <c r="A113" t="s">
        <v>184</v>
      </c>
      <c r="B113" t="s">
        <v>78</v>
      </c>
    </row>
    <row r="114" spans="1:2" x14ac:dyDescent="0.3">
      <c r="A114" t="s">
        <v>185</v>
      </c>
      <c r="B114" t="s">
        <v>74</v>
      </c>
    </row>
    <row r="115" spans="1:2" x14ac:dyDescent="0.3">
      <c r="A115" t="s">
        <v>186</v>
      </c>
      <c r="B115" t="s">
        <v>78</v>
      </c>
    </row>
    <row r="116" spans="1:2" x14ac:dyDescent="0.3">
      <c r="A116" t="s">
        <v>187</v>
      </c>
      <c r="B116" t="s">
        <v>68</v>
      </c>
    </row>
    <row r="117" spans="1:2" x14ac:dyDescent="0.3">
      <c r="A117" t="s">
        <v>188</v>
      </c>
      <c r="B117" t="s">
        <v>68</v>
      </c>
    </row>
    <row r="118" spans="1:2" x14ac:dyDescent="0.3">
      <c r="A118" t="s">
        <v>189</v>
      </c>
      <c r="B118" t="s">
        <v>87</v>
      </c>
    </row>
    <row r="119" spans="1:2" x14ac:dyDescent="0.3">
      <c r="A119" t="s">
        <v>190</v>
      </c>
      <c r="B119" t="s">
        <v>78</v>
      </c>
    </row>
    <row r="120" spans="1:2" x14ac:dyDescent="0.3">
      <c r="A120" t="s">
        <v>191</v>
      </c>
      <c r="B120" t="s">
        <v>147</v>
      </c>
    </row>
    <row r="121" spans="1:2" x14ac:dyDescent="0.3">
      <c r="A121" t="s">
        <v>192</v>
      </c>
      <c r="B121" t="s">
        <v>147</v>
      </c>
    </row>
    <row r="122" spans="1:2" x14ac:dyDescent="0.3">
      <c r="A122" t="s">
        <v>193</v>
      </c>
      <c r="B122" t="s">
        <v>71</v>
      </c>
    </row>
    <row r="123" spans="1:2" x14ac:dyDescent="0.3">
      <c r="A123" t="s">
        <v>194</v>
      </c>
      <c r="B123" t="s">
        <v>78</v>
      </c>
    </row>
    <row r="124" spans="1:2" x14ac:dyDescent="0.3">
      <c r="A124" t="s">
        <v>195</v>
      </c>
      <c r="B124" t="s">
        <v>66</v>
      </c>
    </row>
    <row r="125" spans="1:2" x14ac:dyDescent="0.3">
      <c r="A125" t="s">
        <v>196</v>
      </c>
      <c r="B125" t="s">
        <v>66</v>
      </c>
    </row>
    <row r="126" spans="1:2" x14ac:dyDescent="0.3">
      <c r="A126" t="s">
        <v>197</v>
      </c>
      <c r="B126" t="s">
        <v>71</v>
      </c>
    </row>
    <row r="127" spans="1:2" x14ac:dyDescent="0.3">
      <c r="A127" t="s">
        <v>198</v>
      </c>
      <c r="B127" t="s">
        <v>147</v>
      </c>
    </row>
    <row r="128" spans="1:2" x14ac:dyDescent="0.3">
      <c r="A128" t="s">
        <v>199</v>
      </c>
      <c r="B128" t="s">
        <v>71</v>
      </c>
    </row>
    <row r="129" spans="1:2" x14ac:dyDescent="0.3">
      <c r="A129" t="s">
        <v>200</v>
      </c>
      <c r="B129" t="s">
        <v>147</v>
      </c>
    </row>
    <row r="130" spans="1:2" x14ac:dyDescent="0.3">
      <c r="A130" t="s">
        <v>201</v>
      </c>
      <c r="B130" t="s">
        <v>147</v>
      </c>
    </row>
    <row r="131" spans="1:2" x14ac:dyDescent="0.3">
      <c r="A131" t="s">
        <v>202</v>
      </c>
      <c r="B131" t="s">
        <v>147</v>
      </c>
    </row>
    <row r="132" spans="1:2" x14ac:dyDescent="0.3">
      <c r="A132" t="s">
        <v>203</v>
      </c>
      <c r="B132" t="s">
        <v>147</v>
      </c>
    </row>
    <row r="133" spans="1:2" x14ac:dyDescent="0.3">
      <c r="A133" t="s">
        <v>52</v>
      </c>
      <c r="B133" t="s">
        <v>66</v>
      </c>
    </row>
    <row r="134" spans="1:2" x14ac:dyDescent="0.3">
      <c r="A134" t="s">
        <v>204</v>
      </c>
      <c r="B134" t="s">
        <v>66</v>
      </c>
    </row>
    <row r="135" spans="1:2" x14ac:dyDescent="0.3">
      <c r="A135" t="s">
        <v>205</v>
      </c>
      <c r="B135" t="s">
        <v>66</v>
      </c>
    </row>
    <row r="136" spans="1:2" x14ac:dyDescent="0.3">
      <c r="A136" t="s">
        <v>206</v>
      </c>
      <c r="B136" t="s">
        <v>66</v>
      </c>
    </row>
    <row r="137" spans="1:2" x14ac:dyDescent="0.3">
      <c r="A137" t="s">
        <v>207</v>
      </c>
      <c r="B137" t="s">
        <v>66</v>
      </c>
    </row>
    <row r="138" spans="1:2" x14ac:dyDescent="0.3">
      <c r="A138" t="s">
        <v>208</v>
      </c>
      <c r="B138" t="s">
        <v>71</v>
      </c>
    </row>
    <row r="139" spans="1:2" x14ac:dyDescent="0.3">
      <c r="A139" t="s">
        <v>209</v>
      </c>
      <c r="B139" t="s">
        <v>71</v>
      </c>
    </row>
    <row r="140" spans="1:2" x14ac:dyDescent="0.3">
      <c r="A140" t="s">
        <v>210</v>
      </c>
      <c r="B140" t="s">
        <v>66</v>
      </c>
    </row>
    <row r="141" spans="1:2" x14ac:dyDescent="0.3">
      <c r="A141" t="s">
        <v>10</v>
      </c>
      <c r="B141" t="s">
        <v>71</v>
      </c>
    </row>
    <row r="142" spans="1:2" x14ac:dyDescent="0.3">
      <c r="A142" t="s">
        <v>211</v>
      </c>
      <c r="B142" t="s">
        <v>78</v>
      </c>
    </row>
    <row r="143" spans="1:2" x14ac:dyDescent="0.3">
      <c r="A143" t="s">
        <v>212</v>
      </c>
      <c r="B143" t="s">
        <v>66</v>
      </c>
    </row>
    <row r="144" spans="1:2" x14ac:dyDescent="0.3">
      <c r="A144" t="s">
        <v>213</v>
      </c>
      <c r="B144" t="s">
        <v>66</v>
      </c>
    </row>
    <row r="145" spans="1:2" x14ac:dyDescent="0.3">
      <c r="A145" t="s">
        <v>214</v>
      </c>
      <c r="B145" t="s">
        <v>89</v>
      </c>
    </row>
    <row r="146" spans="1:2" x14ac:dyDescent="0.3">
      <c r="A146" t="s">
        <v>215</v>
      </c>
      <c r="B146" t="s">
        <v>68</v>
      </c>
    </row>
    <row r="147" spans="1:2" x14ac:dyDescent="0.3">
      <c r="A147" t="s">
        <v>216</v>
      </c>
      <c r="B147" t="s">
        <v>74</v>
      </c>
    </row>
    <row r="148" spans="1:2" x14ac:dyDescent="0.3">
      <c r="A148" t="s">
        <v>217</v>
      </c>
      <c r="B148" t="s">
        <v>66</v>
      </c>
    </row>
    <row r="149" spans="1:2" x14ac:dyDescent="0.3">
      <c r="A149" t="s">
        <v>218</v>
      </c>
      <c r="B149" t="s">
        <v>66</v>
      </c>
    </row>
    <row r="150" spans="1:2" x14ac:dyDescent="0.3">
      <c r="A150" t="s">
        <v>219</v>
      </c>
      <c r="B150" t="s">
        <v>66</v>
      </c>
    </row>
    <row r="151" spans="1:2" x14ac:dyDescent="0.3">
      <c r="A151" t="s">
        <v>220</v>
      </c>
      <c r="B151" t="s">
        <v>66</v>
      </c>
    </row>
    <row r="152" spans="1:2" x14ac:dyDescent="0.3">
      <c r="A152" t="s">
        <v>221</v>
      </c>
      <c r="B152" t="s">
        <v>71</v>
      </c>
    </row>
    <row r="153" spans="1:2" x14ac:dyDescent="0.3">
      <c r="A153" t="s">
        <v>222</v>
      </c>
      <c r="B153" t="s">
        <v>66</v>
      </c>
    </row>
    <row r="154" spans="1:2" x14ac:dyDescent="0.3">
      <c r="A154" t="s">
        <v>223</v>
      </c>
      <c r="B154" t="s">
        <v>66</v>
      </c>
    </row>
    <row r="155" spans="1:2" x14ac:dyDescent="0.3">
      <c r="A155" t="s">
        <v>224</v>
      </c>
      <c r="B155" t="s">
        <v>66</v>
      </c>
    </row>
    <row r="156" spans="1:2" x14ac:dyDescent="0.3">
      <c r="A156" t="s">
        <v>225</v>
      </c>
      <c r="B156" t="s">
        <v>66</v>
      </c>
    </row>
    <row r="157" spans="1:2" x14ac:dyDescent="0.3">
      <c r="A157" t="s">
        <v>226</v>
      </c>
      <c r="B157" t="s">
        <v>147</v>
      </c>
    </row>
    <row r="158" spans="1:2" x14ac:dyDescent="0.3">
      <c r="A158" t="s">
        <v>227</v>
      </c>
      <c r="B158" t="s">
        <v>228</v>
      </c>
    </row>
    <row r="159" spans="1:2" x14ac:dyDescent="0.3">
      <c r="A159" t="s">
        <v>229</v>
      </c>
      <c r="B159" t="s">
        <v>228</v>
      </c>
    </row>
    <row r="160" spans="1:2" x14ac:dyDescent="0.3">
      <c r="A160" t="s">
        <v>230</v>
      </c>
      <c r="B160" t="s">
        <v>228</v>
      </c>
    </row>
    <row r="161" spans="1:2" x14ac:dyDescent="0.3">
      <c r="A161" t="s">
        <v>231</v>
      </c>
      <c r="B161" t="s">
        <v>71</v>
      </c>
    </row>
    <row r="162" spans="1:2" x14ac:dyDescent="0.3">
      <c r="A162" t="s">
        <v>232</v>
      </c>
      <c r="B162" t="s">
        <v>147</v>
      </c>
    </row>
    <row r="163" spans="1:2" x14ac:dyDescent="0.3">
      <c r="A163" t="s">
        <v>233</v>
      </c>
      <c r="B163" t="s">
        <v>66</v>
      </c>
    </row>
    <row r="164" spans="1:2" x14ac:dyDescent="0.3">
      <c r="A164" t="s">
        <v>234</v>
      </c>
      <c r="B164" t="s">
        <v>68</v>
      </c>
    </row>
    <row r="165" spans="1:2" x14ac:dyDescent="0.3">
      <c r="A165" t="s">
        <v>235</v>
      </c>
      <c r="B165" t="s">
        <v>68</v>
      </c>
    </row>
    <row r="166" spans="1:2" x14ac:dyDescent="0.3">
      <c r="A166" t="s">
        <v>236</v>
      </c>
      <c r="B166" t="s">
        <v>68</v>
      </c>
    </row>
    <row r="167" spans="1:2" x14ac:dyDescent="0.3">
      <c r="A167" t="s">
        <v>237</v>
      </c>
      <c r="B167" t="s">
        <v>71</v>
      </c>
    </row>
    <row r="168" spans="1:2" x14ac:dyDescent="0.3">
      <c r="A168" t="s">
        <v>238</v>
      </c>
      <c r="B168" t="s">
        <v>71</v>
      </c>
    </row>
    <row r="169" spans="1:2" x14ac:dyDescent="0.3">
      <c r="A169" t="s">
        <v>239</v>
      </c>
      <c r="B169" t="s">
        <v>147</v>
      </c>
    </row>
    <row r="170" spans="1:2" x14ac:dyDescent="0.3">
      <c r="A170" t="s">
        <v>240</v>
      </c>
      <c r="B170" t="s">
        <v>147</v>
      </c>
    </row>
    <row r="171" spans="1:2" x14ac:dyDescent="0.3">
      <c r="A171" t="s">
        <v>241</v>
      </c>
      <c r="B171" t="s">
        <v>147</v>
      </c>
    </row>
    <row r="172" spans="1:2" x14ac:dyDescent="0.3">
      <c r="A172" t="s">
        <v>242</v>
      </c>
      <c r="B172" t="s">
        <v>71</v>
      </c>
    </row>
    <row r="173" spans="1:2" x14ac:dyDescent="0.3">
      <c r="A173" t="s">
        <v>243</v>
      </c>
      <c r="B173" t="s">
        <v>66</v>
      </c>
    </row>
    <row r="174" spans="1:2" x14ac:dyDescent="0.3">
      <c r="A174" t="s">
        <v>244</v>
      </c>
      <c r="B174" t="s">
        <v>66</v>
      </c>
    </row>
    <row r="175" spans="1:2" x14ac:dyDescent="0.3">
      <c r="A175" t="s">
        <v>245</v>
      </c>
      <c r="B175" t="s">
        <v>68</v>
      </c>
    </row>
    <row r="176" spans="1:2" x14ac:dyDescent="0.3">
      <c r="A176" t="s">
        <v>246</v>
      </c>
      <c r="B176" t="s">
        <v>68</v>
      </c>
    </row>
    <row r="177" spans="1:2" x14ac:dyDescent="0.3">
      <c r="A177" t="s">
        <v>247</v>
      </c>
      <c r="B177" t="s">
        <v>66</v>
      </c>
    </row>
    <row r="178" spans="1:2" x14ac:dyDescent="0.3">
      <c r="A178" t="s">
        <v>60</v>
      </c>
      <c r="B178" t="s">
        <v>66</v>
      </c>
    </row>
    <row r="179" spans="1:2" x14ac:dyDescent="0.3">
      <c r="A179" t="s">
        <v>248</v>
      </c>
      <c r="B179" t="s">
        <v>68</v>
      </c>
    </row>
    <row r="180" spans="1:2" x14ac:dyDescent="0.3">
      <c r="A180" t="s">
        <v>249</v>
      </c>
      <c r="B180" t="s">
        <v>71</v>
      </c>
    </row>
    <row r="181" spans="1:2" x14ac:dyDescent="0.3">
      <c r="A181" t="s">
        <v>250</v>
      </c>
      <c r="B181" t="s">
        <v>74</v>
      </c>
    </row>
    <row r="182" spans="1:2" x14ac:dyDescent="0.3">
      <c r="A182" t="s">
        <v>251</v>
      </c>
      <c r="B182" t="s">
        <v>78</v>
      </c>
    </row>
    <row r="183" spans="1:2" x14ac:dyDescent="0.3">
      <c r="A183" t="s">
        <v>252</v>
      </c>
      <c r="B183" t="s">
        <v>68</v>
      </c>
    </row>
    <row r="184" spans="1:2" x14ac:dyDescent="0.3">
      <c r="A184" t="s">
        <v>253</v>
      </c>
      <c r="B184" t="s">
        <v>68</v>
      </c>
    </row>
    <row r="185" spans="1:2" x14ac:dyDescent="0.3">
      <c r="A185" t="s">
        <v>254</v>
      </c>
      <c r="B185" t="s">
        <v>78</v>
      </c>
    </row>
    <row r="186" spans="1:2" x14ac:dyDescent="0.3">
      <c r="A186" t="s">
        <v>255</v>
      </c>
      <c r="B186" t="s">
        <v>74</v>
      </c>
    </row>
    <row r="187" spans="1:2" x14ac:dyDescent="0.3">
      <c r="A187" t="s">
        <v>256</v>
      </c>
      <c r="B187" t="s">
        <v>74</v>
      </c>
    </row>
    <row r="188" spans="1:2" x14ac:dyDescent="0.3">
      <c r="A188" t="s">
        <v>257</v>
      </c>
      <c r="B188" t="s">
        <v>83</v>
      </c>
    </row>
    <row r="189" spans="1:2" x14ac:dyDescent="0.3">
      <c r="A189" t="s">
        <v>258</v>
      </c>
      <c r="B189" t="s">
        <v>83</v>
      </c>
    </row>
    <row r="190" spans="1:2" x14ac:dyDescent="0.3">
      <c r="A190" t="s">
        <v>259</v>
      </c>
      <c r="B190" t="s">
        <v>83</v>
      </c>
    </row>
    <row r="191" spans="1:2" x14ac:dyDescent="0.3">
      <c r="A191" t="s">
        <v>260</v>
      </c>
      <c r="B191" t="s">
        <v>83</v>
      </c>
    </row>
    <row r="192" spans="1:2" x14ac:dyDescent="0.3">
      <c r="A192" t="s">
        <v>261</v>
      </c>
      <c r="B192" t="s">
        <v>147</v>
      </c>
    </row>
    <row r="193" spans="1:2" x14ac:dyDescent="0.3">
      <c r="A193" t="s">
        <v>262</v>
      </c>
      <c r="B193" t="s">
        <v>71</v>
      </c>
    </row>
    <row r="194" spans="1:2" x14ac:dyDescent="0.3">
      <c r="A194" t="s">
        <v>263</v>
      </c>
      <c r="B194" t="s">
        <v>71</v>
      </c>
    </row>
    <row r="195" spans="1:2" x14ac:dyDescent="0.3">
      <c r="A195" t="s">
        <v>264</v>
      </c>
      <c r="B195" t="s">
        <v>66</v>
      </c>
    </row>
    <row r="196" spans="1:2" x14ac:dyDescent="0.3">
      <c r="A196" t="s">
        <v>265</v>
      </c>
      <c r="B196" t="s">
        <v>71</v>
      </c>
    </row>
    <row r="197" spans="1:2" x14ac:dyDescent="0.3">
      <c r="A197" t="s">
        <v>266</v>
      </c>
      <c r="B197" t="s">
        <v>78</v>
      </c>
    </row>
    <row r="198" spans="1:2" x14ac:dyDescent="0.3">
      <c r="A198" t="s">
        <v>267</v>
      </c>
      <c r="B198" t="s">
        <v>68</v>
      </c>
    </row>
    <row r="199" spans="1:2" x14ac:dyDescent="0.3">
      <c r="A199" t="s">
        <v>268</v>
      </c>
      <c r="B199" t="s">
        <v>68</v>
      </c>
    </row>
    <row r="200" spans="1:2" x14ac:dyDescent="0.3">
      <c r="A200" t="s">
        <v>269</v>
      </c>
      <c r="B200" t="s">
        <v>66</v>
      </c>
    </row>
    <row r="201" spans="1:2" x14ac:dyDescent="0.3">
      <c r="A201" t="s">
        <v>270</v>
      </c>
      <c r="B201" t="s">
        <v>68</v>
      </c>
    </row>
    <row r="202" spans="1:2" x14ac:dyDescent="0.3">
      <c r="A202" t="s">
        <v>271</v>
      </c>
      <c r="B202" t="s">
        <v>74</v>
      </c>
    </row>
    <row r="203" spans="1:2" x14ac:dyDescent="0.3">
      <c r="A203" t="s">
        <v>272</v>
      </c>
      <c r="B203" t="s">
        <v>66</v>
      </c>
    </row>
    <row r="204" spans="1:2" x14ac:dyDescent="0.3">
      <c r="A204" t="s">
        <v>273</v>
      </c>
      <c r="B204" t="s">
        <v>71</v>
      </c>
    </row>
    <row r="205" spans="1:2" x14ac:dyDescent="0.3">
      <c r="A205" t="s">
        <v>274</v>
      </c>
      <c r="B205" t="s">
        <v>74</v>
      </c>
    </row>
    <row r="206" spans="1:2" x14ac:dyDescent="0.3">
      <c r="A206" t="s">
        <v>275</v>
      </c>
      <c r="B206" t="s">
        <v>74</v>
      </c>
    </row>
    <row r="207" spans="1:2" x14ac:dyDescent="0.3">
      <c r="A207" t="s">
        <v>276</v>
      </c>
      <c r="B207" t="s">
        <v>78</v>
      </c>
    </row>
    <row r="208" spans="1:2" x14ac:dyDescent="0.3">
      <c r="A208" t="s">
        <v>277</v>
      </c>
      <c r="B208" t="s">
        <v>68</v>
      </c>
    </row>
    <row r="209" spans="1:2" x14ac:dyDescent="0.3">
      <c r="A209" t="s">
        <v>278</v>
      </c>
      <c r="B209" t="s">
        <v>68</v>
      </c>
    </row>
    <row r="210" spans="1:2" x14ac:dyDescent="0.3">
      <c r="A210" t="s">
        <v>279</v>
      </c>
      <c r="B210" t="s">
        <v>74</v>
      </c>
    </row>
    <row r="211" spans="1:2" x14ac:dyDescent="0.3">
      <c r="A211" t="s">
        <v>280</v>
      </c>
      <c r="B211" t="s">
        <v>78</v>
      </c>
    </row>
    <row r="212" spans="1:2" x14ac:dyDescent="0.3">
      <c r="A212" t="s">
        <v>281</v>
      </c>
      <c r="B212" t="s">
        <v>71</v>
      </c>
    </row>
    <row r="213" spans="1:2" x14ac:dyDescent="0.3">
      <c r="A213" t="s">
        <v>282</v>
      </c>
      <c r="B213" t="s">
        <v>74</v>
      </c>
    </row>
    <row r="214" spans="1:2" x14ac:dyDescent="0.3">
      <c r="A214" t="s">
        <v>283</v>
      </c>
      <c r="B214" t="s">
        <v>71</v>
      </c>
    </row>
    <row r="215" spans="1:2" x14ac:dyDescent="0.3">
      <c r="A215" t="s">
        <v>284</v>
      </c>
      <c r="B215" t="s">
        <v>147</v>
      </c>
    </row>
    <row r="216" spans="1:2" x14ac:dyDescent="0.3">
      <c r="A216" t="s">
        <v>285</v>
      </c>
      <c r="B216" t="s">
        <v>66</v>
      </c>
    </row>
    <row r="217" spans="1:2" x14ac:dyDescent="0.3">
      <c r="A217" t="s">
        <v>286</v>
      </c>
      <c r="B217" t="s">
        <v>147</v>
      </c>
    </row>
    <row r="218" spans="1:2" x14ac:dyDescent="0.3">
      <c r="A218" t="s">
        <v>287</v>
      </c>
      <c r="B218" t="s">
        <v>74</v>
      </c>
    </row>
    <row r="219" spans="1:2" x14ac:dyDescent="0.3">
      <c r="A219" t="s">
        <v>288</v>
      </c>
      <c r="B219" t="s">
        <v>66</v>
      </c>
    </row>
    <row r="220" spans="1:2" x14ac:dyDescent="0.3">
      <c r="A220" t="s">
        <v>289</v>
      </c>
      <c r="B220" t="s">
        <v>74</v>
      </c>
    </row>
    <row r="221" spans="1:2" x14ac:dyDescent="0.3">
      <c r="A221" t="s">
        <v>290</v>
      </c>
      <c r="B221" t="s">
        <v>78</v>
      </c>
    </row>
    <row r="222" spans="1:2" x14ac:dyDescent="0.3">
      <c r="A222" t="s">
        <v>291</v>
      </c>
      <c r="B222" t="s">
        <v>74</v>
      </c>
    </row>
    <row r="223" spans="1:2" x14ac:dyDescent="0.3">
      <c r="A223" t="s">
        <v>292</v>
      </c>
      <c r="B223" t="s">
        <v>87</v>
      </c>
    </row>
    <row r="224" spans="1:2" x14ac:dyDescent="0.3">
      <c r="A224" t="s">
        <v>293</v>
      </c>
      <c r="B224" t="s">
        <v>87</v>
      </c>
    </row>
    <row r="225" spans="1:2" x14ac:dyDescent="0.3">
      <c r="A225" t="s">
        <v>294</v>
      </c>
      <c r="B225" t="s">
        <v>66</v>
      </c>
    </row>
    <row r="226" spans="1:2" x14ac:dyDescent="0.3">
      <c r="A226" t="s">
        <v>295</v>
      </c>
      <c r="B226" t="s">
        <v>74</v>
      </c>
    </row>
    <row r="227" spans="1:2" x14ac:dyDescent="0.3">
      <c r="A227" t="s">
        <v>296</v>
      </c>
      <c r="B227" t="s">
        <v>71</v>
      </c>
    </row>
    <row r="228" spans="1:2" x14ac:dyDescent="0.3">
      <c r="A228" t="s">
        <v>297</v>
      </c>
      <c r="B228" t="s">
        <v>71</v>
      </c>
    </row>
    <row r="229" spans="1:2" x14ac:dyDescent="0.3">
      <c r="A229" t="s">
        <v>298</v>
      </c>
      <c r="B229" t="s">
        <v>147</v>
      </c>
    </row>
    <row r="230" spans="1:2" x14ac:dyDescent="0.3">
      <c r="A230" t="s">
        <v>299</v>
      </c>
      <c r="B230" t="s">
        <v>147</v>
      </c>
    </row>
    <row r="231" spans="1:2" x14ac:dyDescent="0.3">
      <c r="A231" t="s">
        <v>300</v>
      </c>
      <c r="B231" t="s">
        <v>78</v>
      </c>
    </row>
    <row r="232" spans="1:2" x14ac:dyDescent="0.3">
      <c r="A232" t="s">
        <v>301</v>
      </c>
      <c r="B232" t="s">
        <v>78</v>
      </c>
    </row>
    <row r="233" spans="1:2" x14ac:dyDescent="0.3">
      <c r="A233" t="s">
        <v>302</v>
      </c>
      <c r="B233" t="s">
        <v>66</v>
      </c>
    </row>
    <row r="234" spans="1:2" x14ac:dyDescent="0.3">
      <c r="A234" t="s">
        <v>303</v>
      </c>
      <c r="B234" t="s">
        <v>71</v>
      </c>
    </row>
    <row r="235" spans="1:2" x14ac:dyDescent="0.3">
      <c r="A235" t="s">
        <v>304</v>
      </c>
      <c r="B235" t="s">
        <v>164</v>
      </c>
    </row>
    <row r="236" spans="1:2" x14ac:dyDescent="0.3">
      <c r="A236" t="s">
        <v>305</v>
      </c>
      <c r="B236" t="s">
        <v>68</v>
      </c>
    </row>
    <row r="237" spans="1:2" x14ac:dyDescent="0.3">
      <c r="A237" t="s">
        <v>306</v>
      </c>
      <c r="B237" t="s">
        <v>68</v>
      </c>
    </row>
    <row r="238" spans="1:2" x14ac:dyDescent="0.3">
      <c r="A238" t="s">
        <v>307</v>
      </c>
      <c r="B238" t="s">
        <v>78</v>
      </c>
    </row>
    <row r="239" spans="1:2" x14ac:dyDescent="0.3">
      <c r="A239" t="s">
        <v>308</v>
      </c>
      <c r="B239" t="s">
        <v>78</v>
      </c>
    </row>
    <row r="240" spans="1:2" x14ac:dyDescent="0.3">
      <c r="A240" t="s">
        <v>309</v>
      </c>
      <c r="B240" t="s">
        <v>78</v>
      </c>
    </row>
    <row r="241" spans="1:2" x14ac:dyDescent="0.3">
      <c r="A241" t="s">
        <v>310</v>
      </c>
      <c r="B241" t="s">
        <v>78</v>
      </c>
    </row>
    <row r="242" spans="1:2" x14ac:dyDescent="0.3">
      <c r="A242" t="s">
        <v>311</v>
      </c>
      <c r="B242" t="s">
        <v>74</v>
      </c>
    </row>
    <row r="243" spans="1:2" x14ac:dyDescent="0.3">
      <c r="A243" t="s">
        <v>312</v>
      </c>
      <c r="B243" t="s">
        <v>71</v>
      </c>
    </row>
    <row r="244" spans="1:2" x14ac:dyDescent="0.3">
      <c r="A244" t="s">
        <v>313</v>
      </c>
      <c r="B244" t="s">
        <v>68</v>
      </c>
    </row>
    <row r="245" spans="1:2" x14ac:dyDescent="0.3">
      <c r="A245" t="s">
        <v>314</v>
      </c>
      <c r="B245" t="s">
        <v>66</v>
      </c>
    </row>
    <row r="246" spans="1:2" x14ac:dyDescent="0.3">
      <c r="A246" t="s">
        <v>315</v>
      </c>
      <c r="B246" t="s">
        <v>68</v>
      </c>
    </row>
    <row r="247" spans="1:2" x14ac:dyDescent="0.3">
      <c r="A247" t="s">
        <v>316</v>
      </c>
      <c r="B247" t="s">
        <v>71</v>
      </c>
    </row>
    <row r="248" spans="1:2" x14ac:dyDescent="0.3">
      <c r="A248" t="s">
        <v>317</v>
      </c>
      <c r="B248" t="s">
        <v>68</v>
      </c>
    </row>
    <row r="249" spans="1:2" x14ac:dyDescent="0.3">
      <c r="A249" t="s">
        <v>318</v>
      </c>
      <c r="B249" t="s">
        <v>68</v>
      </c>
    </row>
    <row r="250" spans="1:2" x14ac:dyDescent="0.3">
      <c r="A250" t="s">
        <v>319</v>
      </c>
      <c r="B250" t="s">
        <v>66</v>
      </c>
    </row>
    <row r="251" spans="1:2" x14ac:dyDescent="0.3">
      <c r="A251" t="s">
        <v>320</v>
      </c>
      <c r="B251" t="s">
        <v>78</v>
      </c>
    </row>
    <row r="252" spans="1:2" x14ac:dyDescent="0.3">
      <c r="A252" t="s">
        <v>321</v>
      </c>
      <c r="B252" t="s">
        <v>78</v>
      </c>
    </row>
    <row r="253" spans="1:2" x14ac:dyDescent="0.3">
      <c r="A253" t="s">
        <v>322</v>
      </c>
      <c r="B253" t="s">
        <v>71</v>
      </c>
    </row>
    <row r="254" spans="1:2" x14ac:dyDescent="0.3">
      <c r="A254" t="s">
        <v>323</v>
      </c>
      <c r="B254" t="s">
        <v>71</v>
      </c>
    </row>
    <row r="255" spans="1:2" x14ac:dyDescent="0.3">
      <c r="A255" t="s">
        <v>324</v>
      </c>
      <c r="B255" t="s">
        <v>71</v>
      </c>
    </row>
    <row r="256" spans="1:2" x14ac:dyDescent="0.3">
      <c r="A256" t="s">
        <v>325</v>
      </c>
      <c r="B256" t="s">
        <v>147</v>
      </c>
    </row>
    <row r="257" spans="1:2" x14ac:dyDescent="0.3">
      <c r="A257" t="s">
        <v>326</v>
      </c>
      <c r="B257" t="s">
        <v>74</v>
      </c>
    </row>
    <row r="258" spans="1:2" x14ac:dyDescent="0.3">
      <c r="A258" t="s">
        <v>327</v>
      </c>
      <c r="B258" t="s">
        <v>68</v>
      </c>
    </row>
    <row r="259" spans="1:2" x14ac:dyDescent="0.3">
      <c r="A259" t="s">
        <v>328</v>
      </c>
      <c r="B259" t="s">
        <v>68</v>
      </c>
    </row>
    <row r="260" spans="1:2" x14ac:dyDescent="0.3">
      <c r="A260" t="s">
        <v>50</v>
      </c>
      <c r="B260" t="s">
        <v>68</v>
      </c>
    </row>
    <row r="261" spans="1:2" x14ac:dyDescent="0.3">
      <c r="A261" t="s">
        <v>329</v>
      </c>
      <c r="B261" t="s">
        <v>66</v>
      </c>
    </row>
    <row r="262" spans="1:2" x14ac:dyDescent="0.3">
      <c r="A262" t="s">
        <v>330</v>
      </c>
      <c r="B262" t="s">
        <v>66</v>
      </c>
    </row>
    <row r="263" spans="1:2" x14ac:dyDescent="0.3">
      <c r="A263" t="s">
        <v>331</v>
      </c>
      <c r="B263" t="s">
        <v>68</v>
      </c>
    </row>
    <row r="264" spans="1:2" x14ac:dyDescent="0.3">
      <c r="A264" t="s">
        <v>332</v>
      </c>
      <c r="B264" t="s">
        <v>71</v>
      </c>
    </row>
    <row r="265" spans="1:2" x14ac:dyDescent="0.3">
      <c r="A265" t="s">
        <v>333</v>
      </c>
      <c r="B265" t="s">
        <v>66</v>
      </c>
    </row>
    <row r="266" spans="1:2" x14ac:dyDescent="0.3">
      <c r="A266" t="s">
        <v>334</v>
      </c>
      <c r="B266" t="s">
        <v>78</v>
      </c>
    </row>
    <row r="267" spans="1:2" x14ac:dyDescent="0.3">
      <c r="A267" t="s">
        <v>335</v>
      </c>
      <c r="B267" t="s">
        <v>78</v>
      </c>
    </row>
    <row r="268" spans="1:2" x14ac:dyDescent="0.3">
      <c r="A268" t="s">
        <v>336</v>
      </c>
      <c r="B268" t="s">
        <v>78</v>
      </c>
    </row>
    <row r="269" spans="1:2" x14ac:dyDescent="0.3">
      <c r="A269" t="s">
        <v>337</v>
      </c>
      <c r="B269" t="s">
        <v>78</v>
      </c>
    </row>
    <row r="270" spans="1:2" x14ac:dyDescent="0.3">
      <c r="A270" t="s">
        <v>338</v>
      </c>
      <c r="B270" t="s">
        <v>68</v>
      </c>
    </row>
    <row r="271" spans="1:2" x14ac:dyDescent="0.3">
      <c r="A271" t="s">
        <v>339</v>
      </c>
      <c r="B271" t="s">
        <v>68</v>
      </c>
    </row>
    <row r="272" spans="1:2" x14ac:dyDescent="0.3">
      <c r="A272" t="s">
        <v>340</v>
      </c>
      <c r="B272" t="s">
        <v>68</v>
      </c>
    </row>
    <row r="273" spans="1:2" x14ac:dyDescent="0.3">
      <c r="A273" t="s">
        <v>341</v>
      </c>
      <c r="B273" t="s">
        <v>68</v>
      </c>
    </row>
    <row r="274" spans="1:2" x14ac:dyDescent="0.3">
      <c r="A274" t="s">
        <v>342</v>
      </c>
      <c r="B274" t="s">
        <v>87</v>
      </c>
    </row>
    <row r="275" spans="1:2" x14ac:dyDescent="0.3">
      <c r="A275" t="s">
        <v>343</v>
      </c>
      <c r="B275" t="s">
        <v>71</v>
      </c>
    </row>
    <row r="276" spans="1:2" x14ac:dyDescent="0.3">
      <c r="A276" t="s">
        <v>62</v>
      </c>
      <c r="B276" t="s">
        <v>71</v>
      </c>
    </row>
    <row r="277" spans="1:2" x14ac:dyDescent="0.3">
      <c r="A277" t="s">
        <v>344</v>
      </c>
      <c r="B277" t="s">
        <v>66</v>
      </c>
    </row>
    <row r="278" spans="1:2" x14ac:dyDescent="0.3">
      <c r="A278" t="s">
        <v>345</v>
      </c>
      <c r="B278" t="s">
        <v>66</v>
      </c>
    </row>
    <row r="279" spans="1:2" x14ac:dyDescent="0.3">
      <c r="A279" t="s">
        <v>346</v>
      </c>
      <c r="B279" t="s">
        <v>66</v>
      </c>
    </row>
    <row r="280" spans="1:2" x14ac:dyDescent="0.3">
      <c r="A280" t="s">
        <v>347</v>
      </c>
      <c r="B280" t="s">
        <v>66</v>
      </c>
    </row>
    <row r="281" spans="1:2" x14ac:dyDescent="0.3">
      <c r="A281" t="s">
        <v>348</v>
      </c>
      <c r="B281" t="s">
        <v>68</v>
      </c>
    </row>
    <row r="282" spans="1:2" x14ac:dyDescent="0.3">
      <c r="A282" t="s">
        <v>349</v>
      </c>
      <c r="B282" t="s">
        <v>66</v>
      </c>
    </row>
    <row r="283" spans="1:2" x14ac:dyDescent="0.3">
      <c r="A283" t="s">
        <v>350</v>
      </c>
      <c r="B283" t="s">
        <v>66</v>
      </c>
    </row>
    <row r="284" spans="1:2" x14ac:dyDescent="0.3">
      <c r="A284" t="s">
        <v>351</v>
      </c>
      <c r="B284" t="s">
        <v>68</v>
      </c>
    </row>
    <row r="285" spans="1:2" x14ac:dyDescent="0.3">
      <c r="A285" t="s">
        <v>352</v>
      </c>
      <c r="B285" t="s">
        <v>74</v>
      </c>
    </row>
    <row r="286" spans="1:2" x14ac:dyDescent="0.3">
      <c r="A286" t="s">
        <v>353</v>
      </c>
      <c r="B286" t="s">
        <v>74</v>
      </c>
    </row>
    <row r="287" spans="1:2" x14ac:dyDescent="0.3">
      <c r="A287" t="s">
        <v>354</v>
      </c>
      <c r="B287" t="s">
        <v>78</v>
      </c>
    </row>
    <row r="288" spans="1:2" x14ac:dyDescent="0.3">
      <c r="A288" t="s">
        <v>355</v>
      </c>
      <c r="B288" t="s">
        <v>68</v>
      </c>
    </row>
    <row r="289" spans="1:2" x14ac:dyDescent="0.3">
      <c r="A289" t="s">
        <v>356</v>
      </c>
      <c r="B289" t="s">
        <v>89</v>
      </c>
    </row>
    <row r="290" spans="1:2" x14ac:dyDescent="0.3">
      <c r="A290" t="s">
        <v>357</v>
      </c>
      <c r="B290" t="s">
        <v>89</v>
      </c>
    </row>
    <row r="291" spans="1:2" x14ac:dyDescent="0.3">
      <c r="A291" t="s">
        <v>358</v>
      </c>
      <c r="B291" t="s">
        <v>66</v>
      </c>
    </row>
    <row r="292" spans="1:2" x14ac:dyDescent="0.3">
      <c r="A292" t="s">
        <v>359</v>
      </c>
      <c r="B292" t="s">
        <v>78</v>
      </c>
    </row>
    <row r="293" spans="1:2" x14ac:dyDescent="0.3">
      <c r="A293" t="s">
        <v>360</v>
      </c>
      <c r="B293" t="s">
        <v>74</v>
      </c>
    </row>
    <row r="294" spans="1:2" x14ac:dyDescent="0.3">
      <c r="A294" t="s">
        <v>361</v>
      </c>
      <c r="B294" t="s">
        <v>68</v>
      </c>
    </row>
    <row r="295" spans="1:2" x14ac:dyDescent="0.3">
      <c r="A295" t="s">
        <v>362</v>
      </c>
      <c r="B295" t="s">
        <v>71</v>
      </c>
    </row>
    <row r="296" spans="1:2" x14ac:dyDescent="0.3">
      <c r="A296" t="s">
        <v>363</v>
      </c>
      <c r="B296" t="s">
        <v>66</v>
      </c>
    </row>
    <row r="297" spans="1:2" x14ac:dyDescent="0.3">
      <c r="A297" t="s">
        <v>364</v>
      </c>
      <c r="B297" t="s">
        <v>71</v>
      </c>
    </row>
    <row r="298" spans="1:2" x14ac:dyDescent="0.3">
      <c r="A298" t="s">
        <v>48</v>
      </c>
      <c r="B298" t="s">
        <v>78</v>
      </c>
    </row>
    <row r="299" spans="1:2" x14ac:dyDescent="0.3">
      <c r="A299" t="s">
        <v>365</v>
      </c>
      <c r="B299" t="s">
        <v>78</v>
      </c>
    </row>
    <row r="300" spans="1:2" x14ac:dyDescent="0.3">
      <c r="A300" t="s">
        <v>366</v>
      </c>
      <c r="B300" t="s">
        <v>147</v>
      </c>
    </row>
    <row r="301" spans="1:2" x14ac:dyDescent="0.3">
      <c r="A301" t="s">
        <v>367</v>
      </c>
      <c r="B301" t="s">
        <v>87</v>
      </c>
    </row>
    <row r="302" spans="1:2" x14ac:dyDescent="0.3">
      <c r="A302" t="s">
        <v>368</v>
      </c>
      <c r="B302" t="s">
        <v>66</v>
      </c>
    </row>
    <row r="303" spans="1:2" x14ac:dyDescent="0.3">
      <c r="A303" t="s">
        <v>369</v>
      </c>
      <c r="B303" t="s">
        <v>74</v>
      </c>
    </row>
    <row r="304" spans="1:2" x14ac:dyDescent="0.3">
      <c r="A304" t="s">
        <v>370</v>
      </c>
      <c r="B304" t="s">
        <v>87</v>
      </c>
    </row>
    <row r="305" spans="1:2" x14ac:dyDescent="0.3">
      <c r="A305" t="s">
        <v>371</v>
      </c>
      <c r="B305" t="s">
        <v>87</v>
      </c>
    </row>
    <row r="306" spans="1:2" x14ac:dyDescent="0.3">
      <c r="A306" t="s">
        <v>42</v>
      </c>
      <c r="B306" t="s">
        <v>66</v>
      </c>
    </row>
    <row r="307" spans="1:2" x14ac:dyDescent="0.3">
      <c r="A307" t="s">
        <v>372</v>
      </c>
      <c r="B307" t="s">
        <v>78</v>
      </c>
    </row>
    <row r="308" spans="1:2" x14ac:dyDescent="0.3">
      <c r="A308" t="s">
        <v>373</v>
      </c>
      <c r="B308" t="s">
        <v>74</v>
      </c>
    </row>
    <row r="309" spans="1:2" x14ac:dyDescent="0.3">
      <c r="A309" t="s">
        <v>374</v>
      </c>
      <c r="B309" t="s">
        <v>66</v>
      </c>
    </row>
    <row r="310" spans="1:2" x14ac:dyDescent="0.3">
      <c r="A310" t="s">
        <v>58</v>
      </c>
      <c r="B310" t="s">
        <v>147</v>
      </c>
    </row>
    <row r="311" spans="1:2" x14ac:dyDescent="0.3">
      <c r="A311" t="s">
        <v>375</v>
      </c>
      <c r="B311" t="s">
        <v>66</v>
      </c>
    </row>
    <row r="312" spans="1:2" x14ac:dyDescent="0.3">
      <c r="A312" t="s">
        <v>376</v>
      </c>
      <c r="B312" t="s">
        <v>66</v>
      </c>
    </row>
    <row r="313" spans="1:2" x14ac:dyDescent="0.3">
      <c r="A313" t="s">
        <v>377</v>
      </c>
      <c r="B313" t="s">
        <v>68</v>
      </c>
    </row>
    <row r="314" spans="1:2" x14ac:dyDescent="0.3">
      <c r="A314" t="s">
        <v>378</v>
      </c>
      <c r="B314" t="s">
        <v>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B8DB-0450-4551-9D8D-716E08992AB0}">
  <dimension ref="A1:J154"/>
  <sheetViews>
    <sheetView workbookViewId="0">
      <selection activeCell="C15" sqref="C15"/>
    </sheetView>
  </sheetViews>
  <sheetFormatPr defaultRowHeight="14.4" x14ac:dyDescent="0.3"/>
  <cols>
    <col min="1" max="1" width="32.5546875" bestFit="1" customWidth="1"/>
    <col min="2" max="2" width="14.77734375" bestFit="1" customWidth="1"/>
    <col min="3" max="3" width="57.44140625" bestFit="1" customWidth="1"/>
    <col min="4" max="4" width="25.21875" bestFit="1" customWidth="1"/>
    <col min="5" max="7" width="15.5546875" style="1" bestFit="1" customWidth="1"/>
    <col min="8" max="10" width="16.5546875" style="1" bestFit="1" customWidth="1"/>
  </cols>
  <sheetData>
    <row r="1" spans="1:10" x14ac:dyDescent="0.3">
      <c r="A1" t="s">
        <v>0</v>
      </c>
      <c r="B1" t="s">
        <v>1</v>
      </c>
      <c r="C1" t="s">
        <v>2</v>
      </c>
      <c r="D1" t="s">
        <v>3</v>
      </c>
      <c r="E1" s="1" t="s">
        <v>4</v>
      </c>
      <c r="F1" s="1" t="s">
        <v>5</v>
      </c>
      <c r="G1" s="1" t="s">
        <v>6</v>
      </c>
      <c r="H1" s="1" t="s">
        <v>7</v>
      </c>
      <c r="I1" s="1" t="s">
        <v>8</v>
      </c>
      <c r="J1" s="1" t="s">
        <v>9</v>
      </c>
    </row>
    <row r="2" spans="1:10" x14ac:dyDescent="0.3">
      <c r="A2" t="s">
        <v>10</v>
      </c>
      <c r="B2" t="s">
        <v>11</v>
      </c>
      <c r="C2" t="s">
        <v>12</v>
      </c>
      <c r="D2" t="s">
        <v>13</v>
      </c>
      <c r="E2" s="1">
        <v>20190.00356360841</v>
      </c>
      <c r="F2" s="1">
        <v>20570.438591786176</v>
      </c>
      <c r="G2" s="1">
        <v>22451.396437936848</v>
      </c>
      <c r="H2" s="1">
        <v>35653.904210349501</v>
      </c>
      <c r="I2" s="1">
        <v>39277.083878391779</v>
      </c>
      <c r="J2" s="1">
        <v>40385.341395766904</v>
      </c>
    </row>
    <row r="3" spans="1:10" x14ac:dyDescent="0.3">
      <c r="A3" t="s">
        <v>10</v>
      </c>
      <c r="B3" t="s">
        <v>11</v>
      </c>
      <c r="C3" t="s">
        <v>14</v>
      </c>
      <c r="D3" t="s">
        <v>15</v>
      </c>
      <c r="E3" s="1">
        <v>7.5470123300000003</v>
      </c>
      <c r="F3" s="1">
        <v>7.7111582800000003</v>
      </c>
      <c r="G3" s="1">
        <v>7.8363890600000001</v>
      </c>
      <c r="H3" s="1">
        <v>8.8502292600000008</v>
      </c>
      <c r="I3" s="1">
        <v>8.4055948300000001</v>
      </c>
      <c r="J3" s="1">
        <v>8.4443731300000007</v>
      </c>
    </row>
    <row r="4" spans="1:10" x14ac:dyDescent="0.3">
      <c r="A4" t="s">
        <v>10</v>
      </c>
      <c r="B4" t="s">
        <v>11</v>
      </c>
      <c r="C4" t="s">
        <v>16</v>
      </c>
      <c r="D4" t="s">
        <v>17</v>
      </c>
      <c r="E4" s="1">
        <v>79.778048780487822</v>
      </c>
      <c r="F4" s="1">
        <v>80.126829268292681</v>
      </c>
      <c r="G4" s="1">
        <v>80.229268292682946</v>
      </c>
      <c r="H4" s="1">
        <v>82.700000000000017</v>
      </c>
      <c r="I4" s="1">
        <v>83.351219512195129</v>
      </c>
      <c r="J4" s="1">
        <v>83.951219512195138</v>
      </c>
    </row>
    <row r="5" spans="1:10" x14ac:dyDescent="0.3">
      <c r="A5" t="s">
        <v>10</v>
      </c>
      <c r="B5" t="s">
        <v>11</v>
      </c>
      <c r="C5" t="s">
        <v>18</v>
      </c>
      <c r="D5" t="s">
        <v>19</v>
      </c>
      <c r="E5" s="1">
        <v>77.819100000000006</v>
      </c>
      <c r="F5" s="1">
        <v>81.584500000000006</v>
      </c>
      <c r="G5" s="1">
        <v>77.573300000000003</v>
      </c>
      <c r="H5" s="1">
        <v>60.8444</v>
      </c>
      <c r="I5" s="1">
        <v>56.678600000000003</v>
      </c>
      <c r="J5" s="1">
        <v>56.9054</v>
      </c>
    </row>
    <row r="6" spans="1:10" x14ac:dyDescent="0.3">
      <c r="A6" t="s">
        <v>10</v>
      </c>
      <c r="B6" t="s">
        <v>11</v>
      </c>
      <c r="C6" t="s">
        <v>20</v>
      </c>
      <c r="D6" t="s">
        <v>21</v>
      </c>
      <c r="E6" s="1">
        <v>116.3621</v>
      </c>
      <c r="F6" s="1">
        <v>118.4897</v>
      </c>
      <c r="G6" s="1">
        <v>120.74850000000001</v>
      </c>
      <c r="H6" s="1">
        <v>103.8308</v>
      </c>
      <c r="I6" s="1">
        <v>104.78230000000001</v>
      </c>
      <c r="J6" s="1">
        <v>104.7041</v>
      </c>
    </row>
    <row r="7" spans="1:10" x14ac:dyDescent="0.3">
      <c r="A7" t="s">
        <v>10</v>
      </c>
      <c r="B7" t="s">
        <v>11</v>
      </c>
      <c r="C7" t="s">
        <v>22</v>
      </c>
      <c r="D7" t="s">
        <v>23</v>
      </c>
      <c r="E7" s="1">
        <v>27.5929</v>
      </c>
      <c r="F7" s="1">
        <v>29.1799</v>
      </c>
      <c r="G7" s="1">
        <v>29.5181</v>
      </c>
      <c r="H7" s="1">
        <v>19.316199999999998</v>
      </c>
      <c r="I7" s="1">
        <v>19.192</v>
      </c>
      <c r="J7" s="1">
        <v>19.254200000000001</v>
      </c>
    </row>
    <row r="8" spans="1:10" x14ac:dyDescent="0.3">
      <c r="A8" t="s">
        <v>10</v>
      </c>
      <c r="B8" t="s">
        <v>11</v>
      </c>
      <c r="C8" t="s">
        <v>24</v>
      </c>
      <c r="D8" t="s">
        <v>25</v>
      </c>
      <c r="E8" s="1">
        <v>1.2141999999999999</v>
      </c>
      <c r="F8" s="1">
        <v>1.2194</v>
      </c>
      <c r="G8" s="1">
        <v>1.1854</v>
      </c>
      <c r="H8" s="1">
        <v>0.61919999999999997</v>
      </c>
      <c r="I8" s="1">
        <v>0.57289999999999996</v>
      </c>
      <c r="J8" s="1">
        <v>0.53590000000000004</v>
      </c>
    </row>
    <row r="9" spans="1:10" x14ac:dyDescent="0.3">
      <c r="A9" t="s">
        <v>10</v>
      </c>
      <c r="B9" t="s">
        <v>11</v>
      </c>
      <c r="C9" t="s">
        <v>26</v>
      </c>
      <c r="D9" t="s">
        <v>27</v>
      </c>
      <c r="E9" s="1">
        <v>3.4599999999999999E-2</v>
      </c>
      <c r="F9" s="1">
        <v>3.7999999999999999E-2</v>
      </c>
      <c r="G9" s="1">
        <v>2.9499999999999998E-2</v>
      </c>
      <c r="H9" s="1">
        <v>1.84E-2</v>
      </c>
      <c r="I9" s="1">
        <v>1.9099999999999999E-2</v>
      </c>
      <c r="J9" s="1">
        <v>1.9800000000000002E-2</v>
      </c>
    </row>
    <row r="10" spans="1:10" x14ac:dyDescent="0.3">
      <c r="A10" t="s">
        <v>10</v>
      </c>
      <c r="B10" t="s">
        <v>11</v>
      </c>
      <c r="C10" t="s">
        <v>28</v>
      </c>
      <c r="D10" t="s">
        <v>29</v>
      </c>
      <c r="E10" s="1">
        <v>454.31909999999999</v>
      </c>
      <c r="F10" s="1">
        <v>453.68040000000002</v>
      </c>
      <c r="G10" s="1">
        <v>460.95699999999999</v>
      </c>
      <c r="H10" s="1">
        <v>331.00599999999997</v>
      </c>
      <c r="I10" s="1">
        <v>304.30810000000002</v>
      </c>
      <c r="J10" s="1">
        <v>299.2285</v>
      </c>
    </row>
    <row r="11" spans="1:10" x14ac:dyDescent="0.3">
      <c r="A11" t="s">
        <v>10</v>
      </c>
      <c r="B11" t="s">
        <v>11</v>
      </c>
      <c r="C11" t="s">
        <v>30</v>
      </c>
      <c r="D11" t="s">
        <v>31</v>
      </c>
      <c r="E11" s="1">
        <v>208000000</v>
      </c>
      <c r="F11" s="1">
        <v>269000000</v>
      </c>
      <c r="G11" s="1">
        <v>477000000</v>
      </c>
      <c r="H11" s="1">
        <v>1711000000</v>
      </c>
      <c r="I11" s="1">
        <v>1364000000</v>
      </c>
      <c r="J11" s="1">
        <v>1379000000</v>
      </c>
    </row>
    <row r="12" spans="1:10" x14ac:dyDescent="0.3">
      <c r="A12" t="s">
        <v>10</v>
      </c>
      <c r="B12" t="s">
        <v>11</v>
      </c>
      <c r="C12" t="s">
        <v>32</v>
      </c>
      <c r="D12" t="s">
        <v>33</v>
      </c>
      <c r="E12" s="1">
        <v>278000000</v>
      </c>
      <c r="F12" s="1">
        <v>241000000</v>
      </c>
      <c r="G12" s="1">
        <v>245000000</v>
      </c>
      <c r="H12" s="1">
        <v>237000000</v>
      </c>
      <c r="I12" s="1">
        <v>485000000</v>
      </c>
      <c r="J12" s="1">
        <v>432000000</v>
      </c>
    </row>
    <row r="13" spans="1:10" x14ac:dyDescent="0.3">
      <c r="A13" t="s">
        <v>10</v>
      </c>
      <c r="B13" t="s">
        <v>11</v>
      </c>
      <c r="C13" t="s">
        <v>34</v>
      </c>
      <c r="D13" t="s">
        <v>35</v>
      </c>
      <c r="E13" s="1">
        <v>21576363700</v>
      </c>
      <c r="F13" s="1">
        <v>21813104000</v>
      </c>
      <c r="G13" s="1">
        <v>22961769000</v>
      </c>
      <c r="H13" s="1">
        <v>32984208000</v>
      </c>
      <c r="I13" s="1">
        <v>34185500000</v>
      </c>
      <c r="J13" s="1">
        <v>35096810000</v>
      </c>
    </row>
    <row r="14" spans="1:10" x14ac:dyDescent="0.3">
      <c r="A14" t="s">
        <v>10</v>
      </c>
      <c r="B14" t="s">
        <v>11</v>
      </c>
      <c r="C14" t="s">
        <v>36</v>
      </c>
      <c r="D14" t="s">
        <v>37</v>
      </c>
      <c r="E14" s="1">
        <v>21.837299999999999</v>
      </c>
      <c r="F14" s="1">
        <v>23.198799999999999</v>
      </c>
      <c r="G14" s="1">
        <v>22.401299999999999</v>
      </c>
      <c r="H14" s="1">
        <v>18.230499999999999</v>
      </c>
      <c r="I14" s="1">
        <v>16.8355</v>
      </c>
      <c r="J14" s="1">
        <v>15.5703</v>
      </c>
    </row>
    <row r="15" spans="1:10" x14ac:dyDescent="0.3">
      <c r="A15" t="s">
        <v>10</v>
      </c>
      <c r="B15" t="s">
        <v>11</v>
      </c>
      <c r="C15" t="s">
        <v>38</v>
      </c>
      <c r="D15" t="s">
        <v>39</v>
      </c>
      <c r="E15" s="1">
        <v>1.1937</v>
      </c>
      <c r="F15" s="1">
        <v>1.2297</v>
      </c>
      <c r="G15" s="1">
        <v>1.2535000000000001</v>
      </c>
      <c r="H15" s="1">
        <v>1.3737999999999999</v>
      </c>
      <c r="I15" s="1">
        <v>1.3742000000000001</v>
      </c>
      <c r="J15" s="1">
        <v>1.3749</v>
      </c>
    </row>
    <row r="16" spans="1:10" x14ac:dyDescent="0.3">
      <c r="A16" t="s">
        <v>40</v>
      </c>
      <c r="B16" t="s">
        <v>41</v>
      </c>
      <c r="C16" t="s">
        <v>12</v>
      </c>
      <c r="D16" t="s">
        <v>13</v>
      </c>
      <c r="E16" s="1">
        <v>969.19951369628666</v>
      </c>
      <c r="F16" s="1">
        <v>1065.4059757451932</v>
      </c>
      <c r="G16" s="1">
        <v>1163.5595767342556</v>
      </c>
      <c r="H16" s="1">
        <v>12970.605641432652</v>
      </c>
      <c r="I16" s="1">
        <v>12951.178239704273</v>
      </c>
      <c r="J16" s="1">
        <v>13303.148154386816</v>
      </c>
    </row>
    <row r="17" spans="1:10" x14ac:dyDescent="0.3">
      <c r="A17" t="s">
        <v>40</v>
      </c>
      <c r="B17" t="s">
        <v>41</v>
      </c>
      <c r="C17" t="s">
        <v>16</v>
      </c>
      <c r="D17" t="s">
        <v>17</v>
      </c>
      <c r="E17" s="1">
        <v>72.287999999999997</v>
      </c>
      <c r="F17" s="1">
        <v>72.674999999999997</v>
      </c>
      <c r="G17" s="1">
        <v>73.034000000000006</v>
      </c>
      <c r="H17" s="1">
        <v>78.201999999999998</v>
      </c>
      <c r="I17" s="1">
        <v>77.953000000000003</v>
      </c>
      <c r="J17" s="1">
        <v>78.016999999999996</v>
      </c>
    </row>
    <row r="18" spans="1:10" x14ac:dyDescent="0.3">
      <c r="A18" t="s">
        <v>40</v>
      </c>
      <c r="B18" t="s">
        <v>41</v>
      </c>
      <c r="C18" t="s">
        <v>18</v>
      </c>
      <c r="D18" t="s">
        <v>19</v>
      </c>
      <c r="E18" s="1">
        <v>371.34730000000002</v>
      </c>
      <c r="F18" s="1">
        <v>381.02080000000001</v>
      </c>
      <c r="G18" s="1">
        <v>397.15620000000001</v>
      </c>
      <c r="H18" s="1">
        <v>575.49590000000001</v>
      </c>
      <c r="I18" s="1">
        <v>574.54939999999999</v>
      </c>
      <c r="J18" s="1">
        <v>586.64400000000001</v>
      </c>
    </row>
    <row r="19" spans="1:10" x14ac:dyDescent="0.3">
      <c r="A19" t="s">
        <v>40</v>
      </c>
      <c r="B19" t="s">
        <v>41</v>
      </c>
      <c r="C19" t="s">
        <v>20</v>
      </c>
      <c r="D19" t="s">
        <v>21</v>
      </c>
      <c r="E19" s="1">
        <v>248.4803</v>
      </c>
      <c r="F19" s="1">
        <v>254.25030000000001</v>
      </c>
      <c r="G19" s="1">
        <v>276.4443</v>
      </c>
      <c r="H19" s="1">
        <v>885.43399999999997</v>
      </c>
      <c r="I19" s="1">
        <v>939.82780000000002</v>
      </c>
      <c r="J19" s="1">
        <v>928.69749999999999</v>
      </c>
    </row>
    <row r="20" spans="1:10" x14ac:dyDescent="0.3">
      <c r="A20" t="s">
        <v>40</v>
      </c>
      <c r="B20" t="s">
        <v>41</v>
      </c>
      <c r="C20" t="s">
        <v>22</v>
      </c>
      <c r="D20" t="s">
        <v>23</v>
      </c>
      <c r="E20" s="1">
        <v>453.4665</v>
      </c>
      <c r="F20" s="1">
        <v>484.59030000000001</v>
      </c>
      <c r="G20" s="1">
        <v>528.61789999999996</v>
      </c>
      <c r="H20" s="1">
        <v>1477.6858999999999</v>
      </c>
      <c r="I20" s="1">
        <v>1456.0920000000001</v>
      </c>
      <c r="J20" s="1">
        <v>1396.1706999999999</v>
      </c>
    </row>
    <row r="21" spans="1:10" x14ac:dyDescent="0.3">
      <c r="A21" t="s">
        <v>40</v>
      </c>
      <c r="B21" t="s">
        <v>41</v>
      </c>
      <c r="C21" t="s">
        <v>24</v>
      </c>
      <c r="D21" t="s">
        <v>25</v>
      </c>
      <c r="E21" s="1">
        <v>24.127700000000001</v>
      </c>
      <c r="F21" s="1">
        <v>24.6966</v>
      </c>
      <c r="G21" s="1">
        <v>31.126899999999999</v>
      </c>
      <c r="H21" s="1">
        <v>16.3139</v>
      </c>
      <c r="I21" s="1">
        <v>16.6374</v>
      </c>
      <c r="J21" s="1">
        <v>16.969100000000001</v>
      </c>
    </row>
    <row r="22" spans="1:10" x14ac:dyDescent="0.3">
      <c r="A22" t="s">
        <v>40</v>
      </c>
      <c r="B22" t="s">
        <v>41</v>
      </c>
      <c r="C22" t="s">
        <v>26</v>
      </c>
      <c r="D22" t="s">
        <v>27</v>
      </c>
      <c r="E22" s="1">
        <v>0.49930000000000002</v>
      </c>
      <c r="F22" s="1">
        <v>0.52090000000000003</v>
      </c>
      <c r="G22" s="1">
        <v>0.54269999999999996</v>
      </c>
      <c r="H22" s="1">
        <v>3.5489000000000002</v>
      </c>
      <c r="I22" s="1">
        <v>3.6225000000000001</v>
      </c>
      <c r="J22" s="1">
        <v>3.6976</v>
      </c>
    </row>
    <row r="23" spans="1:10" x14ac:dyDescent="0.3">
      <c r="A23" t="s">
        <v>40</v>
      </c>
      <c r="B23" t="s">
        <v>41</v>
      </c>
      <c r="C23" t="s">
        <v>28</v>
      </c>
      <c r="D23" t="s">
        <v>29</v>
      </c>
      <c r="E23" s="1">
        <v>3647.8773000000001</v>
      </c>
      <c r="F23" s="1">
        <v>3825.0578999999998</v>
      </c>
      <c r="G23" s="1">
        <v>4133.0730000000003</v>
      </c>
      <c r="H23" s="1">
        <v>12518.6844</v>
      </c>
      <c r="I23" s="1">
        <v>13021.242</v>
      </c>
      <c r="J23" s="1">
        <v>13124.727999999999</v>
      </c>
    </row>
    <row r="24" spans="1:10" x14ac:dyDescent="0.3">
      <c r="A24" t="s">
        <v>40</v>
      </c>
      <c r="B24" t="s">
        <v>41</v>
      </c>
      <c r="C24" t="s">
        <v>30</v>
      </c>
      <c r="D24" t="s">
        <v>31</v>
      </c>
      <c r="E24" s="1">
        <v>306000000</v>
      </c>
      <c r="F24" s="1">
        <v>510000000</v>
      </c>
      <c r="G24" s="1">
        <v>524000000</v>
      </c>
      <c r="H24" s="1">
        <v>2280000000</v>
      </c>
      <c r="I24" s="1">
        <v>2982000000</v>
      </c>
      <c r="J24" s="1">
        <v>1131000000</v>
      </c>
    </row>
    <row r="25" spans="1:10" x14ac:dyDescent="0.3">
      <c r="A25" t="s">
        <v>40</v>
      </c>
      <c r="B25" t="s">
        <v>41</v>
      </c>
      <c r="C25" t="s">
        <v>32</v>
      </c>
      <c r="D25" t="s">
        <v>33</v>
      </c>
      <c r="E25" s="1">
        <v>2472000000</v>
      </c>
      <c r="F25" s="1">
        <v>2754000000</v>
      </c>
      <c r="G25" s="1">
        <v>2819000000</v>
      </c>
      <c r="H25" s="1">
        <v>646000000</v>
      </c>
      <c r="I25" s="1">
        <v>431000000</v>
      </c>
      <c r="J25" s="1">
        <v>72000000</v>
      </c>
    </row>
    <row r="26" spans="1:10" x14ac:dyDescent="0.3">
      <c r="A26" t="s">
        <v>40</v>
      </c>
      <c r="B26" t="s">
        <v>41</v>
      </c>
      <c r="C26" t="s">
        <v>34</v>
      </c>
      <c r="D26" t="s">
        <v>35</v>
      </c>
      <c r="E26" s="1">
        <v>184090164741.82901</v>
      </c>
      <c r="F26" s="1">
        <v>219851088539.276</v>
      </c>
      <c r="G26" s="1">
        <v>250660511207.45001</v>
      </c>
      <c r="H26" s="1">
        <v>1964343311987.28</v>
      </c>
      <c r="I26" s="1">
        <v>2098678518474.49</v>
      </c>
      <c r="J26" s="1">
        <v>2254801911598.8198</v>
      </c>
    </row>
    <row r="27" spans="1:10" x14ac:dyDescent="0.3">
      <c r="A27" t="s">
        <v>40</v>
      </c>
      <c r="B27" t="s">
        <v>41</v>
      </c>
      <c r="C27" t="s">
        <v>36</v>
      </c>
      <c r="D27" t="s">
        <v>37</v>
      </c>
      <c r="E27" s="1">
        <v>138.7081</v>
      </c>
      <c r="F27" s="1">
        <v>140.8588</v>
      </c>
      <c r="G27" s="1">
        <v>143.01339999999999</v>
      </c>
      <c r="H27" s="1">
        <v>235.98699999999999</v>
      </c>
      <c r="I27" s="1">
        <v>207.26390000000001</v>
      </c>
      <c r="J27" s="1">
        <v>195.6686</v>
      </c>
    </row>
    <row r="28" spans="1:10" x14ac:dyDescent="0.3">
      <c r="A28" t="s">
        <v>40</v>
      </c>
      <c r="B28" t="s">
        <v>41</v>
      </c>
      <c r="C28" t="s">
        <v>38</v>
      </c>
      <c r="D28" t="s">
        <v>39</v>
      </c>
      <c r="E28" s="1">
        <v>18.433700000000002</v>
      </c>
      <c r="F28" s="1">
        <v>18.686900000000001</v>
      </c>
      <c r="G28" s="1">
        <v>18.722000000000001</v>
      </c>
      <c r="H28" s="1">
        <v>30.758700000000001</v>
      </c>
      <c r="I28" s="1">
        <v>31.221</v>
      </c>
      <c r="J28" s="1">
        <v>31.6907</v>
      </c>
    </row>
    <row r="29" spans="1:10" x14ac:dyDescent="0.3">
      <c r="A29" t="s">
        <v>42</v>
      </c>
      <c r="B29" t="s">
        <v>43</v>
      </c>
      <c r="C29" t="s">
        <v>12</v>
      </c>
      <c r="D29" t="s">
        <v>13</v>
      </c>
      <c r="E29" s="1">
        <v>404.02978405511834</v>
      </c>
      <c r="F29" s="1">
        <v>419.20567758090067</v>
      </c>
      <c r="G29" s="1">
        <v>445.13286181731331</v>
      </c>
      <c r="H29" s="1">
        <v>4147.69777213621</v>
      </c>
      <c r="I29" s="1">
        <v>4323.3503198245135</v>
      </c>
      <c r="J29" s="1">
        <v>4717.2902873244884</v>
      </c>
    </row>
    <row r="30" spans="1:10" x14ac:dyDescent="0.3">
      <c r="A30" t="s">
        <v>42</v>
      </c>
      <c r="B30" t="s">
        <v>43</v>
      </c>
      <c r="C30" t="s">
        <v>16</v>
      </c>
      <c r="D30" t="s">
        <v>17</v>
      </c>
      <c r="E30" s="1">
        <v>72.745999999999995</v>
      </c>
      <c r="F30" s="1">
        <v>72.983999999999995</v>
      </c>
      <c r="G30" s="1">
        <v>73.138000000000005</v>
      </c>
      <c r="H30" s="1">
        <v>74.501999999999995</v>
      </c>
      <c r="I30" s="1">
        <v>74.587999999999994</v>
      </c>
      <c r="J30" s="1">
        <v>74.736000000000004</v>
      </c>
    </row>
    <row r="31" spans="1:10" x14ac:dyDescent="0.3">
      <c r="A31" t="s">
        <v>42</v>
      </c>
      <c r="B31" t="s">
        <v>43</v>
      </c>
      <c r="C31" t="s">
        <v>18</v>
      </c>
      <c r="D31" t="s">
        <v>19</v>
      </c>
      <c r="E31" s="1">
        <v>7.7333999999999996</v>
      </c>
      <c r="F31" s="1">
        <v>8.7072000000000003</v>
      </c>
      <c r="G31" s="1">
        <v>9.4367000000000001</v>
      </c>
      <c r="H31" s="1">
        <v>14.460800000000001</v>
      </c>
      <c r="I31" s="1">
        <v>15.6059</v>
      </c>
      <c r="J31" s="1">
        <v>16.779900000000001</v>
      </c>
    </row>
    <row r="32" spans="1:10" x14ac:dyDescent="0.3">
      <c r="A32" t="s">
        <v>42</v>
      </c>
      <c r="B32" t="s">
        <v>43</v>
      </c>
      <c r="C32" t="s">
        <v>20</v>
      </c>
      <c r="D32" t="s">
        <v>21</v>
      </c>
      <c r="E32" s="1">
        <v>10.569699999999999</v>
      </c>
      <c r="F32" s="1">
        <v>11.294600000000001</v>
      </c>
      <c r="G32" s="1">
        <v>13.8393</v>
      </c>
      <c r="H32" s="1">
        <v>43.83</v>
      </c>
      <c r="I32" s="1">
        <v>47.650500000000001</v>
      </c>
      <c r="J32" s="1">
        <v>51.416499999999999</v>
      </c>
    </row>
    <row r="33" spans="1:10" x14ac:dyDescent="0.3">
      <c r="A33" t="s">
        <v>42</v>
      </c>
      <c r="B33" t="s">
        <v>43</v>
      </c>
      <c r="C33" t="s">
        <v>22</v>
      </c>
      <c r="D33" t="s">
        <v>23</v>
      </c>
      <c r="E33" s="1">
        <v>8.6166</v>
      </c>
      <c r="F33" s="1">
        <v>9.8926999999999996</v>
      </c>
      <c r="G33" s="1">
        <v>12.385999999999999</v>
      </c>
      <c r="H33" s="1">
        <v>53.207299999999996</v>
      </c>
      <c r="I33" s="1">
        <v>50.189799999999998</v>
      </c>
      <c r="J33" s="1">
        <v>50.2806</v>
      </c>
    </row>
    <row r="34" spans="1:10" x14ac:dyDescent="0.3">
      <c r="A34" t="s">
        <v>42</v>
      </c>
      <c r="B34" t="s">
        <v>43</v>
      </c>
      <c r="C34" t="s">
        <v>24</v>
      </c>
      <c r="D34" t="s">
        <v>25</v>
      </c>
      <c r="E34" s="1">
        <v>2.1827000000000001</v>
      </c>
      <c r="F34" s="1">
        <v>1.8815</v>
      </c>
      <c r="G34" s="1">
        <v>2.2867999999999999</v>
      </c>
      <c r="H34" s="1">
        <v>2.3906000000000001</v>
      </c>
      <c r="I34" s="1">
        <v>2.2227999999999999</v>
      </c>
      <c r="J34" s="1">
        <v>2.1665000000000001</v>
      </c>
    </row>
    <row r="35" spans="1:10" x14ac:dyDescent="0.3">
      <c r="A35" t="s">
        <v>42</v>
      </c>
      <c r="B35" t="s">
        <v>43</v>
      </c>
      <c r="C35" t="s">
        <v>26</v>
      </c>
      <c r="D35" t="s">
        <v>27</v>
      </c>
      <c r="E35" s="1">
        <v>7.0000000000000001E-3</v>
      </c>
      <c r="F35" s="1">
        <v>7.3000000000000001E-3</v>
      </c>
      <c r="G35" s="1">
        <v>7.4999999999999997E-3</v>
      </c>
      <c r="H35" s="1">
        <v>5.0700000000000002E-2</v>
      </c>
      <c r="I35" s="1">
        <v>5.1999999999999998E-2</v>
      </c>
      <c r="J35" s="1">
        <v>5.3400000000000003E-2</v>
      </c>
    </row>
    <row r="36" spans="1:10" x14ac:dyDescent="0.3">
      <c r="A36" t="s">
        <v>42</v>
      </c>
      <c r="B36" t="s">
        <v>43</v>
      </c>
      <c r="C36" t="s">
        <v>28</v>
      </c>
      <c r="D36" t="s">
        <v>29</v>
      </c>
      <c r="E36" s="1">
        <v>56.535600000000002</v>
      </c>
      <c r="F36" s="1">
        <v>62.091700000000003</v>
      </c>
      <c r="G36" s="1">
        <v>73.081800000000001</v>
      </c>
      <c r="H36" s="1">
        <v>343.99990000000003</v>
      </c>
      <c r="I36" s="1">
        <v>390.7253</v>
      </c>
      <c r="J36" s="1">
        <v>430.81920000000002</v>
      </c>
    </row>
    <row r="37" spans="1:10" x14ac:dyDescent="0.3">
      <c r="A37" t="s">
        <v>42</v>
      </c>
      <c r="B37" t="s">
        <v>43</v>
      </c>
      <c r="C37" t="s">
        <v>32</v>
      </c>
      <c r="D37" t="s">
        <v>33</v>
      </c>
      <c r="E37" s="1">
        <v>11000000</v>
      </c>
      <c r="F37" s="1">
        <v>97000000</v>
      </c>
      <c r="G37" s="1">
        <v>58000000</v>
      </c>
      <c r="H37" s="1">
        <v>96000000</v>
      </c>
      <c r="I37" s="1">
        <v>55000000</v>
      </c>
      <c r="J37" s="1">
        <v>58000000</v>
      </c>
    </row>
    <row r="38" spans="1:10" x14ac:dyDescent="0.3">
      <c r="A38" t="s">
        <v>42</v>
      </c>
      <c r="B38" t="s">
        <v>43</v>
      </c>
      <c r="C38" t="s">
        <v>36</v>
      </c>
      <c r="D38" t="s">
        <v>37</v>
      </c>
      <c r="E38" s="1">
        <v>7.1657999999999999</v>
      </c>
      <c r="F38" s="1">
        <v>7.4101999999999997</v>
      </c>
      <c r="G38" s="1">
        <v>7.6605999999999996</v>
      </c>
      <c r="H38" s="1">
        <v>16.2973</v>
      </c>
      <c r="I38" s="1">
        <v>16.780200000000001</v>
      </c>
      <c r="J38" s="1">
        <v>17.279599999999999</v>
      </c>
    </row>
    <row r="39" spans="1:10" x14ac:dyDescent="0.3">
      <c r="A39" t="s">
        <v>42</v>
      </c>
      <c r="B39" t="s">
        <v>43</v>
      </c>
      <c r="C39" t="s">
        <v>38</v>
      </c>
      <c r="D39" t="s">
        <v>39</v>
      </c>
      <c r="E39" s="1">
        <v>0.75349999999999995</v>
      </c>
      <c r="F39" s="1">
        <v>0.76970000000000005</v>
      </c>
      <c r="G39" s="1">
        <v>0.80630000000000002</v>
      </c>
      <c r="H39" s="1">
        <v>1.643</v>
      </c>
      <c r="I39" s="1">
        <v>1.6826000000000001</v>
      </c>
      <c r="J39" s="1">
        <v>1.7233000000000001</v>
      </c>
    </row>
    <row r="40" spans="1:10" x14ac:dyDescent="0.3">
      <c r="A40" t="s">
        <v>44</v>
      </c>
      <c r="B40" t="s">
        <v>45</v>
      </c>
      <c r="C40" t="s">
        <v>12</v>
      </c>
      <c r="D40" t="s">
        <v>13</v>
      </c>
      <c r="E40" s="1">
        <v>3766.5478633983453</v>
      </c>
      <c r="F40" s="1">
        <v>3176.2897505252413</v>
      </c>
      <c r="G40" s="1">
        <v>2855.9401713704933</v>
      </c>
      <c r="H40" s="1">
        <v>9281.3328213686418</v>
      </c>
      <c r="I40" s="1">
        <v>10377.58977191948</v>
      </c>
      <c r="J40" s="1">
        <v>10310.548877816553</v>
      </c>
    </row>
    <row r="41" spans="1:10" x14ac:dyDescent="0.3">
      <c r="A41" t="s">
        <v>44</v>
      </c>
      <c r="B41" t="s">
        <v>45</v>
      </c>
      <c r="C41" t="s">
        <v>16</v>
      </c>
      <c r="D41" t="s">
        <v>17</v>
      </c>
      <c r="E41" s="1">
        <v>69.584000000000003</v>
      </c>
      <c r="F41" s="1">
        <v>69.98</v>
      </c>
      <c r="G41" s="1">
        <v>70.396000000000001</v>
      </c>
      <c r="H41" s="1">
        <v>74.872</v>
      </c>
      <c r="I41" s="1">
        <v>75.847999999999999</v>
      </c>
      <c r="J41" s="1">
        <v>76.022999999999996</v>
      </c>
    </row>
    <row r="42" spans="1:10" x14ac:dyDescent="0.3">
      <c r="A42" t="s">
        <v>44</v>
      </c>
      <c r="B42" t="s">
        <v>45</v>
      </c>
      <c r="C42" t="s">
        <v>18</v>
      </c>
      <c r="D42" t="s">
        <v>19</v>
      </c>
      <c r="E42" s="1">
        <v>35.632100000000001</v>
      </c>
      <c r="F42" s="1">
        <v>37.248100000000001</v>
      </c>
      <c r="G42" s="1">
        <v>36.696599999999997</v>
      </c>
      <c r="H42" s="1">
        <v>40.638199999999998</v>
      </c>
      <c r="I42" s="1">
        <v>42.180100000000003</v>
      </c>
      <c r="J42" s="1">
        <v>42.324100000000001</v>
      </c>
    </row>
    <row r="43" spans="1:10" x14ac:dyDescent="0.3">
      <c r="A43" t="s">
        <v>44</v>
      </c>
      <c r="B43" t="s">
        <v>45</v>
      </c>
      <c r="C43" t="s">
        <v>20</v>
      </c>
      <c r="D43" t="s">
        <v>21</v>
      </c>
      <c r="E43" s="1">
        <v>125.4845</v>
      </c>
      <c r="F43" s="1">
        <v>128.04150000000001</v>
      </c>
      <c r="G43" s="1">
        <v>130.01240000000001</v>
      </c>
      <c r="H43" s="1">
        <v>212.577</v>
      </c>
      <c r="I43" s="1">
        <v>218.17169999999999</v>
      </c>
      <c r="J43" s="1">
        <v>219.28909999999999</v>
      </c>
    </row>
    <row r="44" spans="1:10" x14ac:dyDescent="0.3">
      <c r="A44" t="s">
        <v>44</v>
      </c>
      <c r="B44" t="s">
        <v>45</v>
      </c>
      <c r="C44" t="s">
        <v>22</v>
      </c>
      <c r="D44" t="s">
        <v>23</v>
      </c>
      <c r="E44" s="1">
        <v>39.333399999999997</v>
      </c>
      <c r="F44" s="1">
        <v>37.204300000000003</v>
      </c>
      <c r="G44" s="1">
        <v>38.409599999999998</v>
      </c>
      <c r="H44" s="1">
        <v>47.055100000000003</v>
      </c>
      <c r="I44" s="1">
        <v>47.345700000000001</v>
      </c>
      <c r="J44" s="1">
        <v>48.169899999999998</v>
      </c>
    </row>
    <row r="45" spans="1:10" x14ac:dyDescent="0.3">
      <c r="A45" t="s">
        <v>44</v>
      </c>
      <c r="B45" t="s">
        <v>45</v>
      </c>
      <c r="C45" t="s">
        <v>24</v>
      </c>
      <c r="D45" t="s">
        <v>25</v>
      </c>
      <c r="E45" s="1">
        <v>5.3531000000000004</v>
      </c>
      <c r="F45" s="1">
        <v>4.6631999999999998</v>
      </c>
      <c r="G45" s="1">
        <v>4.8023999999999996</v>
      </c>
      <c r="H45" s="1">
        <v>12.8878</v>
      </c>
      <c r="I45" s="1">
        <v>12.943099999999999</v>
      </c>
      <c r="J45" s="1">
        <v>13.198600000000001</v>
      </c>
    </row>
    <row r="46" spans="1:10" x14ac:dyDescent="0.3">
      <c r="A46" t="s">
        <v>44</v>
      </c>
      <c r="B46" t="s">
        <v>45</v>
      </c>
      <c r="C46" t="s">
        <v>26</v>
      </c>
      <c r="D46" t="s">
        <v>27</v>
      </c>
      <c r="E46" s="1">
        <v>0.22450000000000001</v>
      </c>
      <c r="F46" s="1">
        <v>0.2286</v>
      </c>
      <c r="G46" s="1">
        <v>0.2326</v>
      </c>
      <c r="H46" s="1">
        <v>0.29920000000000002</v>
      </c>
      <c r="I46" s="1">
        <v>0.30209999999999998</v>
      </c>
      <c r="J46" s="1">
        <v>0.30499999999999999</v>
      </c>
    </row>
    <row r="47" spans="1:10" x14ac:dyDescent="0.3">
      <c r="A47" t="s">
        <v>44</v>
      </c>
      <c r="B47" t="s">
        <v>45</v>
      </c>
      <c r="C47" t="s">
        <v>28</v>
      </c>
      <c r="D47" t="s">
        <v>29</v>
      </c>
      <c r="E47" s="1">
        <v>349.4076</v>
      </c>
      <c r="F47" s="1">
        <v>351.33670000000001</v>
      </c>
      <c r="G47" s="1">
        <v>351.43700000000001</v>
      </c>
      <c r="H47" s="1">
        <v>479.26639999999998</v>
      </c>
      <c r="I47" s="1">
        <v>480.23500000000001</v>
      </c>
      <c r="J47" s="1">
        <v>491.46879999999999</v>
      </c>
    </row>
    <row r="48" spans="1:10" x14ac:dyDescent="0.3">
      <c r="A48" t="s">
        <v>44</v>
      </c>
      <c r="B48" t="s">
        <v>45</v>
      </c>
      <c r="C48" t="s">
        <v>32</v>
      </c>
      <c r="D48" t="s">
        <v>33</v>
      </c>
      <c r="E48" s="1">
        <v>86000000</v>
      </c>
      <c r="F48" s="1">
        <v>573000000</v>
      </c>
      <c r="G48" s="1">
        <v>221000000</v>
      </c>
      <c r="H48" s="1">
        <v>469000000</v>
      </c>
      <c r="I48" s="1">
        <v>185000000</v>
      </c>
      <c r="J48" s="1">
        <v>435000000</v>
      </c>
    </row>
    <row r="49" spans="1:10" x14ac:dyDescent="0.3">
      <c r="A49" t="s">
        <v>44</v>
      </c>
      <c r="B49" t="s">
        <v>45</v>
      </c>
      <c r="C49" t="s">
        <v>34</v>
      </c>
      <c r="D49" t="s">
        <v>35</v>
      </c>
      <c r="E49" s="1">
        <v>20753000000</v>
      </c>
      <c r="F49" s="1">
        <v>25682000000</v>
      </c>
      <c r="G49" s="1">
        <v>28224000000</v>
      </c>
      <c r="H49" s="1">
        <v>106078600000</v>
      </c>
      <c r="I49" s="1">
        <v>108819000000</v>
      </c>
      <c r="J49" s="1">
        <v>112971700000</v>
      </c>
    </row>
    <row r="50" spans="1:10" x14ac:dyDescent="0.3">
      <c r="A50" t="s">
        <v>44</v>
      </c>
      <c r="B50" t="s">
        <v>45</v>
      </c>
      <c r="C50" t="s">
        <v>36</v>
      </c>
      <c r="D50" t="s">
        <v>37</v>
      </c>
      <c r="E50" s="1">
        <v>52.073799999999999</v>
      </c>
      <c r="F50" s="1">
        <v>52.858400000000003</v>
      </c>
      <c r="G50" s="1">
        <v>55.826999999999998</v>
      </c>
      <c r="H50" s="1">
        <v>104.4671</v>
      </c>
      <c r="I50" s="1">
        <v>106.3052</v>
      </c>
      <c r="J50" s="1">
        <v>107.9243</v>
      </c>
    </row>
    <row r="51" spans="1:10" x14ac:dyDescent="0.3">
      <c r="A51" t="s">
        <v>44</v>
      </c>
      <c r="B51" t="s">
        <v>45</v>
      </c>
      <c r="C51" t="s">
        <v>38</v>
      </c>
      <c r="D51" t="s">
        <v>39</v>
      </c>
      <c r="E51" s="1">
        <v>2.3700999999999999</v>
      </c>
      <c r="F51" s="1">
        <v>2.4184000000000001</v>
      </c>
      <c r="G51" s="1">
        <v>2.4994000000000001</v>
      </c>
      <c r="H51" s="1">
        <v>3.7736999999999998</v>
      </c>
      <c r="I51" s="1">
        <v>3.7967</v>
      </c>
      <c r="J51" s="1">
        <v>3.8197999999999999</v>
      </c>
    </row>
    <row r="52" spans="1:10" x14ac:dyDescent="0.3">
      <c r="A52" t="s">
        <v>46</v>
      </c>
      <c r="B52" t="s">
        <v>47</v>
      </c>
      <c r="C52" t="s">
        <v>12</v>
      </c>
      <c r="D52" t="s">
        <v>13</v>
      </c>
      <c r="E52" s="1">
        <v>23925.855990199114</v>
      </c>
      <c r="F52" s="1">
        <v>23878.364147165095</v>
      </c>
      <c r="G52" s="1">
        <v>25486.594200874752</v>
      </c>
      <c r="H52" s="1">
        <v>50506.517963854327</v>
      </c>
      <c r="I52" s="1">
        <v>54776.766823549093</v>
      </c>
      <c r="J52" s="1">
        <v>56103.732318255446</v>
      </c>
    </row>
    <row r="53" spans="1:10" x14ac:dyDescent="0.3">
      <c r="A53" t="s">
        <v>46</v>
      </c>
      <c r="B53" t="s">
        <v>47</v>
      </c>
      <c r="C53" t="s">
        <v>14</v>
      </c>
      <c r="D53" t="s">
        <v>15</v>
      </c>
      <c r="E53" s="1">
        <v>9.7593040500000008</v>
      </c>
      <c r="F53" s="1">
        <v>9.7810554500000002</v>
      </c>
      <c r="G53" s="1">
        <v>10.028964999999999</v>
      </c>
      <c r="H53" s="1">
        <v>12.447083470000001</v>
      </c>
      <c r="I53" s="1">
        <v>11.744286539999999</v>
      </c>
      <c r="J53" s="1">
        <v>12.26655293</v>
      </c>
    </row>
    <row r="54" spans="1:10" x14ac:dyDescent="0.3">
      <c r="A54" t="s">
        <v>46</v>
      </c>
      <c r="B54" t="s">
        <v>47</v>
      </c>
      <c r="C54" t="s">
        <v>16</v>
      </c>
      <c r="D54" t="s">
        <v>17</v>
      </c>
      <c r="E54" s="1">
        <v>77.926829268292693</v>
      </c>
      <c r="F54" s="1">
        <v>78.329268292682926</v>
      </c>
      <c r="G54" s="1">
        <v>78.229268292682931</v>
      </c>
      <c r="H54" s="1">
        <v>80.608048780487806</v>
      </c>
      <c r="I54" s="1">
        <v>81.041463414634151</v>
      </c>
      <c r="J54" s="1">
        <v>80.792682926829272</v>
      </c>
    </row>
    <row r="55" spans="1:10" x14ac:dyDescent="0.3">
      <c r="A55" t="s">
        <v>46</v>
      </c>
      <c r="B55" t="s">
        <v>47</v>
      </c>
      <c r="C55" t="s">
        <v>18</v>
      </c>
      <c r="D55" t="s">
        <v>19</v>
      </c>
      <c r="E55" s="1">
        <v>172.17490000000001</v>
      </c>
      <c r="F55" s="1">
        <v>188.37129999999999</v>
      </c>
      <c r="G55" s="1">
        <v>176.27070000000001</v>
      </c>
      <c r="H55" s="1">
        <v>121.4623</v>
      </c>
      <c r="I55" s="1">
        <v>113.0859</v>
      </c>
      <c r="J55" s="1">
        <v>118.92230000000001</v>
      </c>
    </row>
    <row r="56" spans="1:10" x14ac:dyDescent="0.3">
      <c r="A56" t="s">
        <v>46</v>
      </c>
      <c r="B56" t="s">
        <v>47</v>
      </c>
      <c r="C56" t="s">
        <v>20</v>
      </c>
      <c r="D56" t="s">
        <v>21</v>
      </c>
      <c r="E56" s="1">
        <v>173.47040000000001</v>
      </c>
      <c r="F56" s="1">
        <v>169.5369</v>
      </c>
      <c r="G56" s="1">
        <v>167.1233</v>
      </c>
      <c r="H56" s="1">
        <v>140.9573</v>
      </c>
      <c r="I56" s="1">
        <v>136.6369</v>
      </c>
      <c r="J56" s="1">
        <v>138.04339999999999</v>
      </c>
    </row>
    <row r="57" spans="1:10" x14ac:dyDescent="0.3">
      <c r="A57" t="s">
        <v>46</v>
      </c>
      <c r="B57" t="s">
        <v>47</v>
      </c>
      <c r="C57" t="s">
        <v>22</v>
      </c>
      <c r="D57" t="s">
        <v>23</v>
      </c>
      <c r="E57" s="1">
        <v>46.885300000000001</v>
      </c>
      <c r="F57" s="1">
        <v>44.3322</v>
      </c>
      <c r="G57" s="1">
        <v>42.932200000000002</v>
      </c>
      <c r="H57" s="1">
        <v>38.888599999999997</v>
      </c>
      <c r="I57" s="1">
        <v>38.622900000000001</v>
      </c>
      <c r="J57" s="1">
        <v>39.704900000000002</v>
      </c>
    </row>
    <row r="58" spans="1:10" x14ac:dyDescent="0.3">
      <c r="A58" t="s">
        <v>46</v>
      </c>
      <c r="B58" t="s">
        <v>47</v>
      </c>
      <c r="C58" t="s">
        <v>24</v>
      </c>
      <c r="D58" t="s">
        <v>25</v>
      </c>
      <c r="E58" s="1">
        <v>0.45889999999999997</v>
      </c>
      <c r="F58" s="1">
        <v>0.44469999999999998</v>
      </c>
      <c r="G58" s="1">
        <v>0.44790000000000002</v>
      </c>
      <c r="H58" s="1">
        <v>0.68079999999999996</v>
      </c>
      <c r="I58" s="1">
        <v>0.65110000000000001</v>
      </c>
      <c r="J58" s="1">
        <v>0.62170000000000003</v>
      </c>
    </row>
    <row r="59" spans="1:10" x14ac:dyDescent="0.3">
      <c r="A59" t="s">
        <v>46</v>
      </c>
      <c r="B59" t="s">
        <v>47</v>
      </c>
      <c r="C59" t="s">
        <v>28</v>
      </c>
      <c r="D59" t="s">
        <v>29</v>
      </c>
      <c r="E59" s="1">
        <v>871.38469999999995</v>
      </c>
      <c r="F59" s="1">
        <v>885.47450000000003</v>
      </c>
      <c r="G59" s="1">
        <v>869.94039999999995</v>
      </c>
      <c r="H59" s="1">
        <v>658.08860000000004</v>
      </c>
      <c r="I59" s="1">
        <v>589.65959999999995</v>
      </c>
      <c r="J59" s="1">
        <v>579.93560000000002</v>
      </c>
    </row>
    <row r="60" spans="1:10" x14ac:dyDescent="0.3">
      <c r="A60" t="s">
        <v>46</v>
      </c>
      <c r="B60" t="s">
        <v>47</v>
      </c>
      <c r="C60" t="s">
        <v>30</v>
      </c>
      <c r="D60" t="s">
        <v>31</v>
      </c>
      <c r="E60" s="1">
        <v>1677000000</v>
      </c>
      <c r="F60" s="1">
        <v>865000000</v>
      </c>
      <c r="G60" s="1">
        <v>899000000</v>
      </c>
      <c r="H60" s="1">
        <v>1489000000</v>
      </c>
      <c r="I60" s="1">
        <v>2472000000</v>
      </c>
      <c r="J60" s="1">
        <v>2049000000</v>
      </c>
    </row>
    <row r="61" spans="1:10" x14ac:dyDescent="0.3">
      <c r="A61" t="s">
        <v>46</v>
      </c>
      <c r="B61" t="s">
        <v>47</v>
      </c>
      <c r="C61" t="s">
        <v>32</v>
      </c>
      <c r="D61" t="s">
        <v>33</v>
      </c>
      <c r="E61" s="1">
        <v>113000000</v>
      </c>
      <c r="F61" s="1">
        <v>133000000</v>
      </c>
      <c r="G61" s="1">
        <v>71000000</v>
      </c>
      <c r="H61" s="1">
        <v>284000000</v>
      </c>
      <c r="I61" s="1">
        <v>200000000</v>
      </c>
      <c r="J61" s="1">
        <v>239000000</v>
      </c>
    </row>
    <row r="62" spans="1:10" x14ac:dyDescent="0.3">
      <c r="A62" t="s">
        <v>46</v>
      </c>
      <c r="B62" t="s">
        <v>47</v>
      </c>
      <c r="C62" t="s">
        <v>34</v>
      </c>
      <c r="D62" t="s">
        <v>35</v>
      </c>
      <c r="E62" s="1">
        <v>28627226622.409698</v>
      </c>
      <c r="F62" s="1">
        <v>28715298865.078602</v>
      </c>
      <c r="G62" s="1">
        <v>29202507016.0131</v>
      </c>
      <c r="H62" s="1">
        <v>53389040000</v>
      </c>
      <c r="I62" s="1">
        <v>62279449000</v>
      </c>
      <c r="J62" s="1">
        <v>81776500000</v>
      </c>
    </row>
    <row r="63" spans="1:10" x14ac:dyDescent="0.3">
      <c r="A63" t="s">
        <v>46</v>
      </c>
      <c r="B63" t="s">
        <v>47</v>
      </c>
      <c r="C63" t="s">
        <v>36</v>
      </c>
      <c r="D63" t="s">
        <v>37</v>
      </c>
      <c r="E63" s="1">
        <v>32.052500000000002</v>
      </c>
      <c r="F63" s="1">
        <v>30.011800000000001</v>
      </c>
      <c r="G63" s="1">
        <v>28.279399999999999</v>
      </c>
      <c r="H63" s="1">
        <v>8.2131000000000007</v>
      </c>
      <c r="I63" s="1">
        <v>8.0973000000000006</v>
      </c>
      <c r="J63" s="1">
        <v>8.0991</v>
      </c>
    </row>
    <row r="64" spans="1:10" x14ac:dyDescent="0.3">
      <c r="A64" t="s">
        <v>46</v>
      </c>
      <c r="B64" t="s">
        <v>47</v>
      </c>
      <c r="C64" t="s">
        <v>38</v>
      </c>
      <c r="D64" t="s">
        <v>39</v>
      </c>
      <c r="E64" s="1">
        <v>2.0516000000000001</v>
      </c>
      <c r="F64" s="1">
        <v>2.0206</v>
      </c>
      <c r="G64" s="1">
        <v>2.1093000000000002</v>
      </c>
      <c r="H64" s="1">
        <v>2.2561</v>
      </c>
      <c r="I64" s="1">
        <v>2.2555000000000001</v>
      </c>
      <c r="J64" s="1">
        <v>2.2549000000000001</v>
      </c>
    </row>
    <row r="65" spans="1:10" x14ac:dyDescent="0.3">
      <c r="A65" t="s">
        <v>48</v>
      </c>
      <c r="B65" t="s">
        <v>49</v>
      </c>
      <c r="C65" t="s">
        <v>12</v>
      </c>
      <c r="D65" t="s">
        <v>13</v>
      </c>
      <c r="E65" s="1">
        <v>36329.956072710193</v>
      </c>
      <c r="F65" s="1">
        <v>37133.623113437039</v>
      </c>
      <c r="G65" s="1">
        <v>37997.759657305127</v>
      </c>
      <c r="H65" s="1">
        <v>76657.248884440341</v>
      </c>
      <c r="I65" s="1">
        <v>81032.26211754496</v>
      </c>
      <c r="J65" s="1">
        <v>84534.040784154844</v>
      </c>
    </row>
    <row r="66" spans="1:10" x14ac:dyDescent="0.3">
      <c r="A66" t="s">
        <v>48</v>
      </c>
      <c r="B66" t="s">
        <v>49</v>
      </c>
      <c r="C66" t="s">
        <v>16</v>
      </c>
      <c r="D66" t="s">
        <v>17</v>
      </c>
      <c r="E66" s="1">
        <v>76.636585365853662</v>
      </c>
      <c r="F66" s="1">
        <v>76.836585365853665</v>
      </c>
      <c r="G66" s="1">
        <v>76.936585365853659</v>
      </c>
      <c r="H66" s="1">
        <v>77.434146341463432</v>
      </c>
      <c r="I66" s="1">
        <v>78.385365853658541</v>
      </c>
      <c r="J66" s="1">
        <v>78.890243902439039</v>
      </c>
    </row>
    <row r="67" spans="1:10" x14ac:dyDescent="0.3">
      <c r="A67" t="s">
        <v>48</v>
      </c>
      <c r="B67" t="s">
        <v>49</v>
      </c>
      <c r="C67" t="s">
        <v>18</v>
      </c>
      <c r="D67" t="s">
        <v>19</v>
      </c>
      <c r="E67" s="1">
        <v>643.45979999999997</v>
      </c>
      <c r="F67" s="1">
        <v>629.28290000000004</v>
      </c>
      <c r="G67" s="1">
        <v>633.20399999999995</v>
      </c>
      <c r="H67" s="1">
        <v>591.73789999999997</v>
      </c>
      <c r="I67" s="1">
        <v>551.27769999999998</v>
      </c>
      <c r="J67" s="1">
        <v>557.84519999999998</v>
      </c>
    </row>
    <row r="68" spans="1:10" x14ac:dyDescent="0.3">
      <c r="A68" t="s">
        <v>48</v>
      </c>
      <c r="B68" t="s">
        <v>49</v>
      </c>
      <c r="C68" t="s">
        <v>20</v>
      </c>
      <c r="D68" t="s">
        <v>21</v>
      </c>
      <c r="E68" s="1">
        <v>1717.8487</v>
      </c>
      <c r="F68" s="1">
        <v>1720.0372</v>
      </c>
      <c r="G68" s="1">
        <v>1741.6418000000001</v>
      </c>
      <c r="H68" s="1">
        <v>1699.4280000000001</v>
      </c>
      <c r="I68" s="1">
        <v>1674.9644000000001</v>
      </c>
      <c r="J68" s="1">
        <v>1678.5621000000001</v>
      </c>
    </row>
    <row r="69" spans="1:10" x14ac:dyDescent="0.3">
      <c r="A69" t="s">
        <v>48</v>
      </c>
      <c r="B69" t="s">
        <v>49</v>
      </c>
      <c r="C69" t="s">
        <v>22</v>
      </c>
      <c r="D69" t="s">
        <v>23</v>
      </c>
      <c r="E69" s="1">
        <v>161.81899999999999</v>
      </c>
      <c r="F69" s="1">
        <v>139.10310000000001</v>
      </c>
      <c r="G69" s="1">
        <v>144.94560000000001</v>
      </c>
      <c r="H69" s="1">
        <v>162.76249999999999</v>
      </c>
      <c r="I69" s="1">
        <v>157.42609999999999</v>
      </c>
      <c r="J69" s="1">
        <v>155.7201</v>
      </c>
    </row>
    <row r="70" spans="1:10" x14ac:dyDescent="0.3">
      <c r="A70" t="s">
        <v>48</v>
      </c>
      <c r="B70" t="s">
        <v>49</v>
      </c>
      <c r="C70" t="s">
        <v>24</v>
      </c>
      <c r="D70" t="s">
        <v>25</v>
      </c>
      <c r="E70" s="1">
        <v>5.3926999999999996</v>
      </c>
      <c r="F70" s="1">
        <v>5.6406000000000001</v>
      </c>
      <c r="G70" s="1">
        <v>5.7584999999999997</v>
      </c>
      <c r="H70" s="1">
        <v>6.8973000000000004</v>
      </c>
      <c r="I70" s="1">
        <v>6.8040000000000003</v>
      </c>
      <c r="J70" s="1">
        <v>6.8367000000000004</v>
      </c>
    </row>
    <row r="71" spans="1:10" x14ac:dyDescent="0.3">
      <c r="A71" t="s">
        <v>48</v>
      </c>
      <c r="B71" t="s">
        <v>49</v>
      </c>
      <c r="C71" t="s">
        <v>28</v>
      </c>
      <c r="D71" t="s">
        <v>29</v>
      </c>
      <c r="E71" s="1">
        <v>5928.7614000000003</v>
      </c>
      <c r="F71" s="1">
        <v>5877.6293999999998</v>
      </c>
      <c r="G71" s="1">
        <v>5726.7267000000002</v>
      </c>
      <c r="H71" s="1">
        <v>4815.7664999999997</v>
      </c>
      <c r="I71" s="1">
        <v>4618.2674999999999</v>
      </c>
      <c r="J71" s="1">
        <v>4632.1648999999998</v>
      </c>
    </row>
    <row r="72" spans="1:10" x14ac:dyDescent="0.3">
      <c r="A72" t="s">
        <v>48</v>
      </c>
      <c r="B72" t="s">
        <v>49</v>
      </c>
      <c r="C72" t="s">
        <v>30</v>
      </c>
      <c r="D72" t="s">
        <v>31</v>
      </c>
      <c r="E72" s="1">
        <v>7677000000</v>
      </c>
      <c r="F72" s="1">
        <v>5597000000</v>
      </c>
      <c r="G72" s="1">
        <v>4888000000</v>
      </c>
      <c r="H72" s="1">
        <v>15351000000</v>
      </c>
      <c r="I72" s="1">
        <v>11102000000</v>
      </c>
      <c r="J72" s="1">
        <v>13512000000</v>
      </c>
    </row>
    <row r="73" spans="1:10" x14ac:dyDescent="0.3">
      <c r="A73" t="s">
        <v>48</v>
      </c>
      <c r="B73" t="s">
        <v>49</v>
      </c>
      <c r="C73" t="s">
        <v>32</v>
      </c>
      <c r="D73" t="s">
        <v>33</v>
      </c>
      <c r="E73" s="1">
        <v>333000000</v>
      </c>
      <c r="F73" s="1">
        <v>508000000</v>
      </c>
      <c r="G73" s="1">
        <v>515000000</v>
      </c>
      <c r="H73" s="1">
        <v>733000000</v>
      </c>
      <c r="I73" s="1">
        <v>792000000</v>
      </c>
      <c r="J73" s="1">
        <v>1209000000</v>
      </c>
    </row>
    <row r="74" spans="1:10" x14ac:dyDescent="0.3">
      <c r="A74" t="s">
        <v>48</v>
      </c>
      <c r="B74" t="s">
        <v>49</v>
      </c>
      <c r="C74" t="s">
        <v>34</v>
      </c>
      <c r="D74" t="s">
        <v>35</v>
      </c>
      <c r="E74" s="1">
        <v>320086324211.19598</v>
      </c>
      <c r="F74" s="1">
        <v>331805610572.13702</v>
      </c>
      <c r="G74" s="1">
        <v>378463138753.841</v>
      </c>
      <c r="H74" s="1">
        <v>860692200000</v>
      </c>
      <c r="I74" s="1">
        <v>916014700000</v>
      </c>
      <c r="J74" s="1">
        <v>997309000000</v>
      </c>
    </row>
    <row r="75" spans="1:10" x14ac:dyDescent="0.3">
      <c r="A75" t="s">
        <v>48</v>
      </c>
      <c r="B75" t="s">
        <v>49</v>
      </c>
      <c r="C75" t="s">
        <v>36</v>
      </c>
      <c r="D75" t="s">
        <v>37</v>
      </c>
      <c r="E75" s="1">
        <v>183.5909</v>
      </c>
      <c r="F75" s="1">
        <v>178.1472</v>
      </c>
      <c r="G75" s="1">
        <v>176.40979999999999</v>
      </c>
      <c r="H75" s="1">
        <v>149.1806</v>
      </c>
      <c r="I75" s="1">
        <v>149.108</v>
      </c>
      <c r="J75" s="1">
        <v>149.52260000000001</v>
      </c>
    </row>
    <row r="76" spans="1:10" x14ac:dyDescent="0.3">
      <c r="A76" t="s">
        <v>48</v>
      </c>
      <c r="B76" t="s">
        <v>49</v>
      </c>
      <c r="C76" t="s">
        <v>38</v>
      </c>
      <c r="D76" t="s">
        <v>39</v>
      </c>
      <c r="E76" s="1">
        <v>7.2603999999999997</v>
      </c>
      <c r="F76" s="1">
        <v>7.3564999999999996</v>
      </c>
      <c r="G76" s="1">
        <v>7.4330999999999996</v>
      </c>
      <c r="H76" s="1">
        <v>9.7754999999999992</v>
      </c>
      <c r="I76" s="1">
        <v>9.8556000000000008</v>
      </c>
      <c r="J76" s="1">
        <v>9.9375</v>
      </c>
    </row>
    <row r="77" spans="1:10" x14ac:dyDescent="0.3">
      <c r="A77" t="s">
        <v>50</v>
      </c>
      <c r="B77" t="s">
        <v>51</v>
      </c>
      <c r="C77" t="s">
        <v>12</v>
      </c>
      <c r="D77" t="s">
        <v>13</v>
      </c>
      <c r="E77" s="1">
        <v>3217.8469344846712</v>
      </c>
      <c r="F77" s="1">
        <v>2847.1519194590805</v>
      </c>
      <c r="G77" s="1">
        <v>2688.2367603280636</v>
      </c>
      <c r="H77" s="1">
        <v>6534.2486778339689</v>
      </c>
      <c r="I77" s="1">
        <v>6034.2720896467317</v>
      </c>
      <c r="J77" s="1">
        <v>6267.1868140930046</v>
      </c>
    </row>
    <row r="78" spans="1:10" x14ac:dyDescent="0.3">
      <c r="A78" t="s">
        <v>50</v>
      </c>
      <c r="B78" t="s">
        <v>51</v>
      </c>
      <c r="C78" t="s">
        <v>16</v>
      </c>
      <c r="D78" t="s">
        <v>17</v>
      </c>
      <c r="E78" s="1">
        <v>58.368000000000002</v>
      </c>
      <c r="F78" s="1">
        <v>57.161000000000001</v>
      </c>
      <c r="G78" s="1">
        <v>55.58</v>
      </c>
      <c r="H78" s="1">
        <v>65.453999999999994</v>
      </c>
      <c r="I78" s="1">
        <v>66.138999999999996</v>
      </c>
      <c r="J78" s="1">
        <v>66.311999999999998</v>
      </c>
    </row>
    <row r="79" spans="1:10" x14ac:dyDescent="0.3">
      <c r="A79" t="s">
        <v>50</v>
      </c>
      <c r="B79" t="s">
        <v>51</v>
      </c>
      <c r="C79" t="s">
        <v>18</v>
      </c>
      <c r="D79" t="s">
        <v>19</v>
      </c>
      <c r="E79" s="1">
        <v>12.866300000000001</v>
      </c>
      <c r="F79" s="1">
        <v>16.635000000000002</v>
      </c>
      <c r="G79" s="1">
        <v>19.671800000000001</v>
      </c>
      <c r="H79" s="1">
        <v>22.885899999999999</v>
      </c>
      <c r="I79" s="1">
        <v>22.9985</v>
      </c>
      <c r="J79" s="1">
        <v>22.671500000000002</v>
      </c>
    </row>
    <row r="80" spans="1:10" x14ac:dyDescent="0.3">
      <c r="A80" t="s">
        <v>50</v>
      </c>
      <c r="B80" t="s">
        <v>51</v>
      </c>
      <c r="C80" t="s">
        <v>20</v>
      </c>
      <c r="D80" t="s">
        <v>21</v>
      </c>
      <c r="E80" s="1">
        <v>35.180300000000003</v>
      </c>
      <c r="F80" s="1">
        <v>36.005400000000002</v>
      </c>
      <c r="G80" s="1">
        <v>36.791200000000003</v>
      </c>
      <c r="H80" s="1">
        <v>47.778599999999997</v>
      </c>
      <c r="I80" s="1">
        <v>47.720300000000002</v>
      </c>
      <c r="J80" s="1">
        <v>44.484200000000001</v>
      </c>
    </row>
    <row r="81" spans="1:10" x14ac:dyDescent="0.3">
      <c r="A81" t="s">
        <v>50</v>
      </c>
      <c r="B81" t="s">
        <v>51</v>
      </c>
      <c r="C81" t="s">
        <v>22</v>
      </c>
      <c r="D81" t="s">
        <v>23</v>
      </c>
      <c r="E81" s="1">
        <v>13.9092</v>
      </c>
      <c r="F81" s="1">
        <v>13.3246</v>
      </c>
      <c r="G81" s="1">
        <v>14.211600000000001</v>
      </c>
      <c r="H81" s="1">
        <v>16.827300000000001</v>
      </c>
      <c r="I81" s="1">
        <v>18.284500000000001</v>
      </c>
      <c r="J81" s="1">
        <v>19.982299999999999</v>
      </c>
    </row>
    <row r="82" spans="1:10" x14ac:dyDescent="0.3">
      <c r="A82" t="s">
        <v>50</v>
      </c>
      <c r="B82" t="s">
        <v>51</v>
      </c>
      <c r="C82" t="s">
        <v>24</v>
      </c>
      <c r="D82" t="s">
        <v>25</v>
      </c>
      <c r="E82" s="1">
        <v>0.31259999999999999</v>
      </c>
      <c r="F82" s="1">
        <v>0.3054</v>
      </c>
      <c r="G82" s="1">
        <v>0.42430000000000001</v>
      </c>
      <c r="H82" s="1">
        <v>1.2666999999999999</v>
      </c>
      <c r="I82" s="1">
        <v>1.2777000000000001</v>
      </c>
      <c r="J82" s="1">
        <v>1.2755000000000001</v>
      </c>
    </row>
    <row r="83" spans="1:10" x14ac:dyDescent="0.3">
      <c r="A83" t="s">
        <v>50</v>
      </c>
      <c r="B83" t="s">
        <v>51</v>
      </c>
      <c r="C83" t="s">
        <v>28</v>
      </c>
      <c r="D83" t="s">
        <v>29</v>
      </c>
      <c r="E83" s="1">
        <v>347.28320000000002</v>
      </c>
      <c r="F83" s="1">
        <v>357.37880000000001</v>
      </c>
      <c r="G83" s="1">
        <v>370.77280000000002</v>
      </c>
      <c r="H83" s="1">
        <v>429.32810000000001</v>
      </c>
      <c r="I83" s="1">
        <v>427.26690000000002</v>
      </c>
      <c r="J83" s="1">
        <v>440.1678</v>
      </c>
    </row>
    <row r="84" spans="1:10" x14ac:dyDescent="0.3">
      <c r="A84" t="s">
        <v>50</v>
      </c>
      <c r="B84" t="s">
        <v>51</v>
      </c>
      <c r="C84" t="s">
        <v>30</v>
      </c>
      <c r="D84" t="s">
        <v>31</v>
      </c>
      <c r="E84" s="1">
        <v>21000000</v>
      </c>
      <c r="F84" s="1">
        <v>37000000</v>
      </c>
      <c r="G84" s="1">
        <v>22000000</v>
      </c>
      <c r="H84" s="1">
        <v>68000000</v>
      </c>
      <c r="I84" s="1">
        <v>58000000</v>
      </c>
      <c r="J84" s="1">
        <v>27000000</v>
      </c>
    </row>
    <row r="85" spans="1:10" x14ac:dyDescent="0.3">
      <c r="A85" t="s">
        <v>50</v>
      </c>
      <c r="B85" t="s">
        <v>51</v>
      </c>
      <c r="C85" t="s">
        <v>34</v>
      </c>
      <c r="D85" t="s">
        <v>35</v>
      </c>
      <c r="E85" s="1">
        <v>13128250000</v>
      </c>
      <c r="F85" s="1">
        <v>15516000000</v>
      </c>
      <c r="G85" s="1">
        <v>18615750000</v>
      </c>
      <c r="H85" s="1">
        <v>53141500000</v>
      </c>
      <c r="I85" s="1">
        <v>53000325000</v>
      </c>
      <c r="J85" s="1">
        <v>51974850000</v>
      </c>
    </row>
    <row r="86" spans="1:10" x14ac:dyDescent="0.3">
      <c r="A86" t="s">
        <v>50</v>
      </c>
      <c r="B86" t="s">
        <v>51</v>
      </c>
      <c r="C86" t="s">
        <v>36</v>
      </c>
      <c r="D86" t="s">
        <v>37</v>
      </c>
      <c r="E86" s="1">
        <v>13.295299999999999</v>
      </c>
      <c r="F86" s="1">
        <v>13.525399999999999</v>
      </c>
      <c r="G86" s="1">
        <v>14.0418</v>
      </c>
      <c r="H86" s="1">
        <v>25.3186</v>
      </c>
      <c r="I86" s="1">
        <v>25.360800000000001</v>
      </c>
      <c r="J86" s="1">
        <v>25.437899999999999</v>
      </c>
    </row>
    <row r="87" spans="1:10" x14ac:dyDescent="0.3">
      <c r="A87" t="s">
        <v>50</v>
      </c>
      <c r="B87" t="s">
        <v>51</v>
      </c>
      <c r="C87" t="s">
        <v>38</v>
      </c>
      <c r="D87" t="s">
        <v>39</v>
      </c>
      <c r="E87" s="1">
        <v>0.57599999999999996</v>
      </c>
      <c r="F87" s="1">
        <v>0.58809999999999996</v>
      </c>
      <c r="G87" s="1">
        <v>0.59470000000000001</v>
      </c>
      <c r="H87" s="1">
        <v>0.81679999999999997</v>
      </c>
      <c r="I87" s="1">
        <v>0.83089999999999997</v>
      </c>
      <c r="J87" s="1">
        <v>0.84519999999999995</v>
      </c>
    </row>
    <row r="88" spans="1:10" x14ac:dyDescent="0.3">
      <c r="A88" t="s">
        <v>52</v>
      </c>
      <c r="B88" t="s">
        <v>53</v>
      </c>
      <c r="C88" t="s">
        <v>12</v>
      </c>
      <c r="D88" t="s">
        <v>13</v>
      </c>
      <c r="E88" s="1">
        <v>442.75021893726324</v>
      </c>
      <c r="F88" s="1">
        <v>450.35790051412818</v>
      </c>
      <c r="G88" s="1">
        <v>469.14992897392727</v>
      </c>
      <c r="H88" s="1">
        <v>2347.4482943462317</v>
      </c>
      <c r="I88" s="1">
        <v>2530.1203127820381</v>
      </c>
      <c r="J88" s="1">
        <v>2694.7378085996111</v>
      </c>
    </row>
    <row r="89" spans="1:10" x14ac:dyDescent="0.3">
      <c r="A89" t="s">
        <v>52</v>
      </c>
      <c r="B89" t="s">
        <v>53</v>
      </c>
      <c r="C89" t="s">
        <v>16</v>
      </c>
      <c r="D89" t="s">
        <v>17</v>
      </c>
      <c r="E89" s="1">
        <v>62.749000000000002</v>
      </c>
      <c r="F89" s="1">
        <v>63.158000000000001</v>
      </c>
      <c r="G89" s="1">
        <v>63.649000000000001</v>
      </c>
      <c r="H89" s="1">
        <v>71.697999999999993</v>
      </c>
      <c r="I89" s="1">
        <v>72.003</v>
      </c>
      <c r="J89" s="1">
        <v>72.234999999999999</v>
      </c>
    </row>
    <row r="90" spans="1:10" x14ac:dyDescent="0.3">
      <c r="A90" t="s">
        <v>52</v>
      </c>
      <c r="B90" t="s">
        <v>53</v>
      </c>
      <c r="C90" t="s">
        <v>18</v>
      </c>
      <c r="D90" t="s">
        <v>19</v>
      </c>
      <c r="E90" s="1">
        <v>111.2212</v>
      </c>
      <c r="F90" s="1">
        <v>110.5898</v>
      </c>
      <c r="G90" s="1">
        <v>115.67829999999999</v>
      </c>
      <c r="H90" s="1">
        <v>197.0061</v>
      </c>
      <c r="I90" s="1">
        <v>202.4992</v>
      </c>
      <c r="J90" s="1">
        <v>210.23580000000001</v>
      </c>
    </row>
    <row r="91" spans="1:10" x14ac:dyDescent="0.3">
      <c r="A91" t="s">
        <v>52</v>
      </c>
      <c r="B91" t="s">
        <v>53</v>
      </c>
      <c r="C91" t="s">
        <v>20</v>
      </c>
      <c r="D91" t="s">
        <v>21</v>
      </c>
      <c r="E91" s="1">
        <v>95.089799999999997</v>
      </c>
      <c r="F91" s="1">
        <v>94.918400000000005</v>
      </c>
      <c r="G91" s="1">
        <v>97.737399999999994</v>
      </c>
      <c r="H91" s="1">
        <v>323.76229999999998</v>
      </c>
      <c r="I91" s="1">
        <v>332.68349999999998</v>
      </c>
      <c r="J91" s="1">
        <v>344.34789999999998</v>
      </c>
    </row>
    <row r="92" spans="1:10" x14ac:dyDescent="0.3">
      <c r="A92" t="s">
        <v>52</v>
      </c>
      <c r="B92" t="s">
        <v>53</v>
      </c>
      <c r="C92" t="s">
        <v>22</v>
      </c>
      <c r="D92" t="s">
        <v>23</v>
      </c>
      <c r="E92" s="1">
        <v>71.3887</v>
      </c>
      <c r="F92" s="1">
        <v>73.898399999999995</v>
      </c>
      <c r="G92" s="1">
        <v>79.634600000000006</v>
      </c>
      <c r="H92" s="1">
        <v>220.31649999999999</v>
      </c>
      <c r="I92" s="1">
        <v>246.10290000000001</v>
      </c>
      <c r="J92" s="1">
        <v>258.47800000000001</v>
      </c>
    </row>
    <row r="93" spans="1:10" x14ac:dyDescent="0.3">
      <c r="A93" t="s">
        <v>52</v>
      </c>
      <c r="B93" t="s">
        <v>53</v>
      </c>
      <c r="C93" t="s">
        <v>24</v>
      </c>
      <c r="D93" t="s">
        <v>25</v>
      </c>
      <c r="E93" s="1">
        <v>16.884799999999998</v>
      </c>
      <c r="F93" s="1">
        <v>17.426300000000001</v>
      </c>
      <c r="G93" s="1">
        <v>16.0441</v>
      </c>
      <c r="H93" s="1">
        <v>30.768999999999998</v>
      </c>
      <c r="I93" s="1">
        <v>31.920999999999999</v>
      </c>
      <c r="J93" s="1">
        <v>32.791499999999999</v>
      </c>
    </row>
    <row r="94" spans="1:10" x14ac:dyDescent="0.3">
      <c r="A94" t="s">
        <v>52</v>
      </c>
      <c r="B94" t="s">
        <v>53</v>
      </c>
      <c r="C94" t="s">
        <v>28</v>
      </c>
      <c r="D94" t="s">
        <v>29</v>
      </c>
      <c r="E94" s="1">
        <v>996.89089999999999</v>
      </c>
      <c r="F94" s="1">
        <v>1012.998</v>
      </c>
      <c r="G94" s="1">
        <v>1051.0845999999999</v>
      </c>
      <c r="H94" s="1">
        <v>2807.0805</v>
      </c>
      <c r="I94" s="1">
        <v>3014.5225999999998</v>
      </c>
      <c r="J94" s="1">
        <v>3153.8290999999999</v>
      </c>
    </row>
    <row r="95" spans="1:10" x14ac:dyDescent="0.3">
      <c r="A95" t="s">
        <v>52</v>
      </c>
      <c r="B95" t="s">
        <v>53</v>
      </c>
      <c r="C95" t="s">
        <v>30</v>
      </c>
      <c r="D95" t="s">
        <v>31</v>
      </c>
      <c r="E95" s="1">
        <v>21000000</v>
      </c>
      <c r="F95" s="1">
        <v>2000000</v>
      </c>
      <c r="G95" s="1">
        <v>0</v>
      </c>
      <c r="H95" s="1">
        <v>7000000</v>
      </c>
      <c r="I95" s="1">
        <v>41000000</v>
      </c>
      <c r="J95" s="1">
        <v>25000000</v>
      </c>
    </row>
    <row r="96" spans="1:10" x14ac:dyDescent="0.3">
      <c r="A96" t="s">
        <v>52</v>
      </c>
      <c r="B96" t="s">
        <v>53</v>
      </c>
      <c r="C96" t="s">
        <v>32</v>
      </c>
      <c r="D96" t="s">
        <v>33</v>
      </c>
      <c r="E96" s="1">
        <v>987000000</v>
      </c>
      <c r="F96" s="1">
        <v>1184000000</v>
      </c>
      <c r="G96" s="1">
        <v>2001000000</v>
      </c>
      <c r="H96" s="1">
        <v>2629000000</v>
      </c>
      <c r="I96" s="1">
        <v>1491000000</v>
      </c>
      <c r="J96" s="1">
        <v>1168000000</v>
      </c>
    </row>
    <row r="97" spans="1:10" x14ac:dyDescent="0.3">
      <c r="A97" t="s">
        <v>52</v>
      </c>
      <c r="B97" t="s">
        <v>53</v>
      </c>
      <c r="C97" t="s">
        <v>34</v>
      </c>
      <c r="D97" t="s">
        <v>35</v>
      </c>
      <c r="E97" s="1">
        <v>642103750000</v>
      </c>
      <c r="F97" s="1">
        <v>688951750000</v>
      </c>
      <c r="G97" s="1">
        <v>716985750000</v>
      </c>
      <c r="H97" s="1">
        <v>6279477825000</v>
      </c>
      <c r="I97" s="1">
        <v>6794795850000</v>
      </c>
      <c r="J97" s="1">
        <v>7206582450000</v>
      </c>
    </row>
    <row r="98" spans="1:10" x14ac:dyDescent="0.3">
      <c r="A98" t="s">
        <v>52</v>
      </c>
      <c r="B98" t="s">
        <v>53</v>
      </c>
      <c r="C98" t="s">
        <v>36</v>
      </c>
      <c r="D98" t="s">
        <v>37</v>
      </c>
      <c r="E98" s="1">
        <v>84.216899999999995</v>
      </c>
      <c r="F98" s="1">
        <v>85.887100000000004</v>
      </c>
      <c r="G98" s="1">
        <v>87.747500000000002</v>
      </c>
      <c r="H98" s="1">
        <v>129.8785</v>
      </c>
      <c r="I98" s="1">
        <v>133.01730000000001</v>
      </c>
      <c r="J98" s="1">
        <v>135.22800000000001</v>
      </c>
    </row>
    <row r="99" spans="1:10" x14ac:dyDescent="0.3">
      <c r="A99" t="s">
        <v>52</v>
      </c>
      <c r="B99" t="s">
        <v>53</v>
      </c>
      <c r="C99" t="s">
        <v>38</v>
      </c>
      <c r="D99" t="s">
        <v>39</v>
      </c>
      <c r="E99" s="1">
        <v>10.3241</v>
      </c>
      <c r="F99" s="1">
        <v>10.5832</v>
      </c>
      <c r="G99" s="1">
        <v>10.6252</v>
      </c>
      <c r="H99" s="1">
        <v>18.027999999999999</v>
      </c>
      <c r="I99" s="1">
        <v>18.475899999999999</v>
      </c>
      <c r="J99" s="1">
        <v>18.934899999999999</v>
      </c>
    </row>
    <row r="100" spans="1:10" x14ac:dyDescent="0.3">
      <c r="A100" t="s">
        <v>54</v>
      </c>
      <c r="B100" t="s">
        <v>55</v>
      </c>
      <c r="C100" t="s">
        <v>12</v>
      </c>
      <c r="D100" t="s">
        <v>13</v>
      </c>
      <c r="E100" s="1">
        <v>751.80126303445286</v>
      </c>
      <c r="F100" s="1">
        <v>719.21588603833641</v>
      </c>
      <c r="G100" s="1">
        <v>684.99839699215784</v>
      </c>
      <c r="H100" s="1">
        <v>1850.9174305476922</v>
      </c>
      <c r="I100" s="1">
        <v>1682.7505884547566</v>
      </c>
      <c r="J100" s="1">
        <v>1527.9580951403666</v>
      </c>
    </row>
    <row r="101" spans="1:10" x14ac:dyDescent="0.3">
      <c r="A101" t="s">
        <v>54</v>
      </c>
      <c r="B101" t="s">
        <v>55</v>
      </c>
      <c r="C101" t="s">
        <v>16</v>
      </c>
      <c r="D101" t="s">
        <v>17</v>
      </c>
      <c r="E101" s="1">
        <v>55.48842498472969</v>
      </c>
      <c r="F101" s="1">
        <v>55.721269301054939</v>
      </c>
      <c r="G101" s="1">
        <v>56.150856610411267</v>
      </c>
      <c r="H101" s="1">
        <v>62.702271566253962</v>
      </c>
      <c r="I101" s="1">
        <v>63.34994477710751</v>
      </c>
      <c r="J101" s="1">
        <v>63.6048412656707</v>
      </c>
    </row>
    <row r="102" spans="1:10" x14ac:dyDescent="0.3">
      <c r="A102" t="s">
        <v>54</v>
      </c>
      <c r="B102" t="s">
        <v>55</v>
      </c>
      <c r="C102" t="s">
        <v>18</v>
      </c>
      <c r="D102" t="s">
        <v>19</v>
      </c>
      <c r="E102" s="1">
        <v>87.235000000000014</v>
      </c>
      <c r="F102" s="1">
        <v>88.253599999999992</v>
      </c>
      <c r="G102" s="1">
        <v>88.072900000000004</v>
      </c>
      <c r="H102" s="1">
        <v>53.152200000000008</v>
      </c>
      <c r="I102" s="1">
        <v>53.896299999999997</v>
      </c>
      <c r="J102" s="1">
        <v>55.4831</v>
      </c>
    </row>
    <row r="103" spans="1:10" x14ac:dyDescent="0.3">
      <c r="A103" t="s">
        <v>54</v>
      </c>
      <c r="B103" t="s">
        <v>55</v>
      </c>
      <c r="C103" t="s">
        <v>20</v>
      </c>
      <c r="D103" t="s">
        <v>21</v>
      </c>
      <c r="E103" s="1">
        <v>154.88419999999999</v>
      </c>
      <c r="F103" s="1">
        <v>166.79750000000007</v>
      </c>
      <c r="G103" s="1">
        <v>171.95949999999999</v>
      </c>
      <c r="H103" s="1">
        <v>238.27489999999997</v>
      </c>
      <c r="I103" s="1">
        <v>244.7627</v>
      </c>
      <c r="J103" s="1">
        <v>249.8673</v>
      </c>
    </row>
    <row r="104" spans="1:10" x14ac:dyDescent="0.3">
      <c r="A104" t="s">
        <v>54</v>
      </c>
      <c r="B104" t="s">
        <v>55</v>
      </c>
      <c r="C104" t="s">
        <v>22</v>
      </c>
      <c r="D104" t="s">
        <v>23</v>
      </c>
      <c r="E104" s="1">
        <v>53.158100000000005</v>
      </c>
      <c r="F104" s="1">
        <v>58.991100000000003</v>
      </c>
      <c r="G104" s="1">
        <v>59.615200000000016</v>
      </c>
      <c r="H104" s="1">
        <v>73.614899999999963</v>
      </c>
      <c r="I104" s="1">
        <v>73.330799999999982</v>
      </c>
      <c r="J104" s="1">
        <v>74.61839999999998</v>
      </c>
    </row>
    <row r="105" spans="1:10" x14ac:dyDescent="0.3">
      <c r="A105" t="s">
        <v>54</v>
      </c>
      <c r="B105" t="s">
        <v>55</v>
      </c>
      <c r="C105" t="s">
        <v>24</v>
      </c>
      <c r="D105" t="s">
        <v>25</v>
      </c>
      <c r="E105" s="1">
        <v>3.0589999999999988</v>
      </c>
      <c r="F105" s="1">
        <v>3.0448999999999997</v>
      </c>
      <c r="G105" s="1">
        <v>3.0787999999999998</v>
      </c>
      <c r="H105" s="1">
        <v>4.6917999999999997</v>
      </c>
      <c r="I105" s="1">
        <v>4.7733999999999996</v>
      </c>
      <c r="J105" s="1">
        <v>4.9564999999999992</v>
      </c>
    </row>
    <row r="106" spans="1:10" x14ac:dyDescent="0.3">
      <c r="A106" t="s">
        <v>54</v>
      </c>
      <c r="B106" t="s">
        <v>55</v>
      </c>
      <c r="C106" t="s">
        <v>26</v>
      </c>
      <c r="D106" t="s">
        <v>27</v>
      </c>
      <c r="E106" s="1">
        <v>8.0500000000000002E-2</v>
      </c>
      <c r="F106" s="1">
        <v>8.5199999999999998E-2</v>
      </c>
      <c r="G106" s="1">
        <v>8.900000000000001E-2</v>
      </c>
      <c r="H106" s="1">
        <v>8.4699999999999998E-2</v>
      </c>
      <c r="I106" s="1">
        <v>8.610000000000001E-2</v>
      </c>
      <c r="J106" s="1">
        <v>8.7600000000000011E-2</v>
      </c>
    </row>
    <row r="107" spans="1:10" x14ac:dyDescent="0.3">
      <c r="A107" t="s">
        <v>54</v>
      </c>
      <c r="B107" t="s">
        <v>55</v>
      </c>
      <c r="C107" t="s">
        <v>28</v>
      </c>
      <c r="D107" t="s">
        <v>29</v>
      </c>
      <c r="E107" s="1">
        <v>873.31500000000017</v>
      </c>
      <c r="F107" s="1">
        <v>898.85860000000002</v>
      </c>
      <c r="G107" s="1">
        <v>889.22890000000007</v>
      </c>
      <c r="H107" s="1">
        <v>836.83139999999992</v>
      </c>
      <c r="I107" s="1">
        <v>857.41150000000016</v>
      </c>
      <c r="J107" s="1">
        <v>869.00419999999997</v>
      </c>
    </row>
    <row r="108" spans="1:10" x14ac:dyDescent="0.3">
      <c r="A108" t="s">
        <v>54</v>
      </c>
      <c r="B108" t="s">
        <v>55</v>
      </c>
      <c r="C108" t="s">
        <v>36</v>
      </c>
      <c r="D108" t="s">
        <v>37</v>
      </c>
      <c r="E108" s="1">
        <v>72.437399999999982</v>
      </c>
      <c r="F108" s="1">
        <v>74.69319999999999</v>
      </c>
      <c r="G108" s="1">
        <v>76.685200000000009</v>
      </c>
      <c r="H108" s="1">
        <v>137.61319999999998</v>
      </c>
      <c r="I108" s="1">
        <v>140.37110000000001</v>
      </c>
      <c r="J108" s="1">
        <v>143.26309999999998</v>
      </c>
    </row>
    <row r="109" spans="1:10" x14ac:dyDescent="0.3">
      <c r="A109" t="s">
        <v>54</v>
      </c>
      <c r="B109" t="s">
        <v>55</v>
      </c>
      <c r="C109" t="s">
        <v>38</v>
      </c>
      <c r="D109" t="s">
        <v>39</v>
      </c>
      <c r="E109" s="1">
        <v>5.2944999999999993</v>
      </c>
      <c r="F109" s="1">
        <v>5.9355999999999982</v>
      </c>
      <c r="G109" s="1">
        <v>6.1419000000000015</v>
      </c>
      <c r="H109" s="1">
        <v>10.981800000000002</v>
      </c>
      <c r="I109" s="1">
        <v>11.163599999999999</v>
      </c>
      <c r="J109" s="1">
        <v>11.351999999999997</v>
      </c>
    </row>
    <row r="110" spans="1:10" x14ac:dyDescent="0.3">
      <c r="A110" t="s">
        <v>56</v>
      </c>
      <c r="B110" t="s">
        <v>57</v>
      </c>
      <c r="C110" t="s">
        <v>12</v>
      </c>
      <c r="D110" t="s">
        <v>13</v>
      </c>
      <c r="E110" s="1">
        <v>21908.996801978352</v>
      </c>
      <c r="F110" s="1">
        <v>19733.651010264537</v>
      </c>
      <c r="G110" s="1">
        <v>20335.096019102304</v>
      </c>
      <c r="H110" s="1">
        <v>65169.519111865666</v>
      </c>
      <c r="I110" s="1">
        <v>65058.37731466737</v>
      </c>
      <c r="J110" s="1">
        <v>64603.985630846415</v>
      </c>
    </row>
    <row r="111" spans="1:10" x14ac:dyDescent="0.3">
      <c r="A111" t="s">
        <v>56</v>
      </c>
      <c r="B111" t="s">
        <v>57</v>
      </c>
      <c r="C111" t="s">
        <v>16</v>
      </c>
      <c r="D111" t="s">
        <v>17</v>
      </c>
      <c r="E111" s="1">
        <v>79.234146341463429</v>
      </c>
      <c r="F111" s="1">
        <v>79.634146341463421</v>
      </c>
      <c r="G111" s="1">
        <v>79.936585365853674</v>
      </c>
      <c r="H111" s="1">
        <v>83.2</v>
      </c>
      <c r="I111" s="1">
        <v>83.051219512195132</v>
      </c>
      <c r="J111" s="1">
        <v>83.051219512195132</v>
      </c>
    </row>
    <row r="112" spans="1:10" x14ac:dyDescent="0.3">
      <c r="A112" t="s">
        <v>56</v>
      </c>
      <c r="B112" t="s">
        <v>57</v>
      </c>
      <c r="C112" t="s">
        <v>18</v>
      </c>
      <c r="D112" t="s">
        <v>19</v>
      </c>
      <c r="E112" s="1">
        <v>16.230399999999999</v>
      </c>
      <c r="F112" s="1">
        <v>16.5489</v>
      </c>
      <c r="G112" s="1">
        <v>18.042999999999999</v>
      </c>
      <c r="H112" s="1">
        <v>29.745999999999999</v>
      </c>
      <c r="I112" s="1">
        <v>29.706</v>
      </c>
      <c r="J112" s="1">
        <v>29.857099999999999</v>
      </c>
    </row>
    <row r="113" spans="1:10" x14ac:dyDescent="0.3">
      <c r="A113" t="s">
        <v>56</v>
      </c>
      <c r="B113" t="s">
        <v>57</v>
      </c>
      <c r="C113" t="s">
        <v>20</v>
      </c>
      <c r="D113" t="s">
        <v>21</v>
      </c>
      <c r="E113" s="1">
        <v>75.014300000000006</v>
      </c>
      <c r="F113" s="1">
        <v>74.417000000000002</v>
      </c>
      <c r="G113" s="1">
        <v>76.132400000000004</v>
      </c>
      <c r="H113" s="1">
        <v>89.1892</v>
      </c>
      <c r="I113" s="1">
        <v>96.688000000000002</v>
      </c>
      <c r="J113" s="1">
        <v>100.5104</v>
      </c>
    </row>
    <row r="114" spans="1:10" x14ac:dyDescent="0.3">
      <c r="A114" t="s">
        <v>56</v>
      </c>
      <c r="B114" t="s">
        <v>57</v>
      </c>
      <c r="C114" t="s">
        <v>22</v>
      </c>
      <c r="D114" t="s">
        <v>23</v>
      </c>
      <c r="E114" s="1">
        <v>13.8454</v>
      </c>
      <c r="F114" s="1">
        <v>14.2227</v>
      </c>
      <c r="G114" s="1">
        <v>14.3231</v>
      </c>
      <c r="H114" s="1">
        <v>14.0861</v>
      </c>
      <c r="I114" s="1">
        <v>13.6317</v>
      </c>
      <c r="J114" s="1">
        <v>13.4772</v>
      </c>
    </row>
    <row r="115" spans="1:10" x14ac:dyDescent="0.3">
      <c r="A115" t="s">
        <v>56</v>
      </c>
      <c r="B115" t="s">
        <v>57</v>
      </c>
      <c r="C115" t="s">
        <v>24</v>
      </c>
      <c r="D115" t="s">
        <v>25</v>
      </c>
      <c r="E115" s="1">
        <v>1.2529999999999999</v>
      </c>
      <c r="F115" s="1">
        <v>1.3771</v>
      </c>
      <c r="G115" s="1">
        <v>1.6823999999999999</v>
      </c>
      <c r="H115" s="1">
        <v>2.8626999999999998</v>
      </c>
      <c r="I115" s="1">
        <v>2.8102999999999998</v>
      </c>
      <c r="J115" s="1">
        <v>2.7917000000000001</v>
      </c>
    </row>
    <row r="116" spans="1:10" x14ac:dyDescent="0.3">
      <c r="A116" t="s">
        <v>56</v>
      </c>
      <c r="B116" t="s">
        <v>57</v>
      </c>
      <c r="C116" t="s">
        <v>26</v>
      </c>
      <c r="D116" t="s">
        <v>27</v>
      </c>
      <c r="E116" s="1">
        <v>1.35E-2</v>
      </c>
      <c r="F116" s="1">
        <v>1.3599999999999999E-2</v>
      </c>
      <c r="G116" s="1">
        <v>1.37E-2</v>
      </c>
      <c r="H116" s="1">
        <v>1.6299999999999999E-2</v>
      </c>
      <c r="I116" s="1">
        <v>1.6500000000000001E-2</v>
      </c>
      <c r="J116" s="1">
        <v>1.66E-2</v>
      </c>
    </row>
    <row r="117" spans="1:10" x14ac:dyDescent="0.3">
      <c r="A117" t="s">
        <v>56</v>
      </c>
      <c r="B117" t="s">
        <v>57</v>
      </c>
      <c r="C117" t="s">
        <v>28</v>
      </c>
      <c r="D117" t="s">
        <v>29</v>
      </c>
      <c r="E117" s="1">
        <v>353.8956</v>
      </c>
      <c r="F117" s="1">
        <v>360.42790000000002</v>
      </c>
      <c r="G117" s="1">
        <v>368.6413</v>
      </c>
      <c r="H117" s="1">
        <v>378.06509999999997</v>
      </c>
      <c r="I117" s="1">
        <v>377.4957</v>
      </c>
      <c r="J117" s="1">
        <v>383.40309999999999</v>
      </c>
    </row>
    <row r="118" spans="1:10" x14ac:dyDescent="0.3">
      <c r="A118" t="s">
        <v>56</v>
      </c>
      <c r="B118" t="s">
        <v>57</v>
      </c>
      <c r="C118" t="s">
        <v>32</v>
      </c>
      <c r="D118" t="s">
        <v>33</v>
      </c>
      <c r="E118" s="1">
        <v>326000000</v>
      </c>
      <c r="F118" s="1">
        <v>1215000000</v>
      </c>
      <c r="G118" s="1">
        <v>638000000</v>
      </c>
      <c r="H118" s="1">
        <v>815000000</v>
      </c>
      <c r="I118" s="1">
        <v>379000000</v>
      </c>
      <c r="J118" s="1">
        <v>983000000</v>
      </c>
    </row>
    <row r="119" spans="1:10" x14ac:dyDescent="0.3">
      <c r="A119" t="s">
        <v>56</v>
      </c>
      <c r="B119" t="s">
        <v>57</v>
      </c>
      <c r="C119" t="s">
        <v>34</v>
      </c>
      <c r="D119" t="s">
        <v>35</v>
      </c>
      <c r="E119" s="1">
        <v>12546000000</v>
      </c>
      <c r="F119" s="1">
        <v>13617500000</v>
      </c>
      <c r="G119" s="1">
        <v>14626500000</v>
      </c>
      <c r="H119" s="1">
        <v>46774583500</v>
      </c>
      <c r="I119" s="1">
        <v>48825218500</v>
      </c>
      <c r="J119" s="1">
        <v>51405750000</v>
      </c>
    </row>
    <row r="120" spans="1:10" x14ac:dyDescent="0.3">
      <c r="A120" t="s">
        <v>56</v>
      </c>
      <c r="B120" t="s">
        <v>57</v>
      </c>
      <c r="C120" t="s">
        <v>36</v>
      </c>
      <c r="D120" t="s">
        <v>37</v>
      </c>
      <c r="E120" s="1">
        <v>16.016300000000001</v>
      </c>
      <c r="F120" s="1">
        <v>16.1418</v>
      </c>
      <c r="G120" s="1">
        <v>16.436</v>
      </c>
      <c r="H120" s="1">
        <v>15.470499999999999</v>
      </c>
      <c r="I120" s="1">
        <v>15.553900000000001</v>
      </c>
      <c r="J120" s="1">
        <v>15.704700000000001</v>
      </c>
    </row>
    <row r="121" spans="1:10" x14ac:dyDescent="0.3">
      <c r="A121" t="s">
        <v>56</v>
      </c>
      <c r="B121" t="s">
        <v>57</v>
      </c>
      <c r="C121" t="s">
        <v>38</v>
      </c>
      <c r="D121" t="s">
        <v>39</v>
      </c>
      <c r="E121" s="1">
        <v>0.50260000000000005</v>
      </c>
      <c r="F121" s="1">
        <v>0.52210000000000001</v>
      </c>
      <c r="G121" s="1">
        <v>0.54879999999999995</v>
      </c>
      <c r="H121" s="1">
        <v>1.0086999999999999</v>
      </c>
      <c r="I121" s="1">
        <v>1.0197000000000001</v>
      </c>
      <c r="J121" s="1">
        <v>1.0307999999999999</v>
      </c>
    </row>
    <row r="122" spans="1:10" x14ac:dyDescent="0.3">
      <c r="A122" t="s">
        <v>58</v>
      </c>
      <c r="B122" t="s">
        <v>59</v>
      </c>
      <c r="C122" t="s">
        <v>12</v>
      </c>
      <c r="D122" t="s">
        <v>13</v>
      </c>
      <c r="E122" s="1">
        <v>5501.2642181645369</v>
      </c>
      <c r="F122" s="1">
        <v>5394.6851252672423</v>
      </c>
      <c r="G122" s="1">
        <v>5530.0210426296462</v>
      </c>
      <c r="H122" s="1">
        <v>12798.165846531856</v>
      </c>
      <c r="I122" s="1">
        <v>13236.716396091662</v>
      </c>
      <c r="J122" s="1">
        <v>13631.204309721546</v>
      </c>
    </row>
    <row r="123" spans="1:10" x14ac:dyDescent="0.3">
      <c r="A123" t="s">
        <v>58</v>
      </c>
      <c r="B123" t="s">
        <v>59</v>
      </c>
      <c r="C123" t="s">
        <v>16</v>
      </c>
      <c r="D123" t="s">
        <v>17</v>
      </c>
      <c r="E123" s="1">
        <v>67.649722469737824</v>
      </c>
      <c r="F123" s="1">
        <v>67.944397101655667</v>
      </c>
      <c r="G123" s="1">
        <v>68.23056330633932</v>
      </c>
      <c r="H123" s="1">
        <v>72.967558148223674</v>
      </c>
      <c r="I123" s="1">
        <v>73.32884010428252</v>
      </c>
      <c r="J123" s="1">
        <v>73.480380292779031</v>
      </c>
    </row>
    <row r="124" spans="1:10" x14ac:dyDescent="0.3">
      <c r="A124" t="s">
        <v>58</v>
      </c>
      <c r="B124" t="s">
        <v>59</v>
      </c>
      <c r="C124" t="s">
        <v>18</v>
      </c>
      <c r="D124" t="s">
        <v>19</v>
      </c>
      <c r="E124" s="1">
        <v>3037.6474136399002</v>
      </c>
      <c r="F124" s="1">
        <v>3073.3965378897001</v>
      </c>
      <c r="G124" s="1">
        <v>3073.0729395589001</v>
      </c>
      <c r="H124" s="1">
        <v>3286.4535691134001</v>
      </c>
      <c r="I124" s="1">
        <v>3203.6112592605</v>
      </c>
      <c r="J124" s="1">
        <v>3253.7696760577001</v>
      </c>
    </row>
    <row r="125" spans="1:10" x14ac:dyDescent="0.3">
      <c r="A125" t="s">
        <v>58</v>
      </c>
      <c r="B125" t="s">
        <v>59</v>
      </c>
      <c r="C125" t="s">
        <v>20</v>
      </c>
      <c r="D125" t="s">
        <v>21</v>
      </c>
      <c r="E125" s="1">
        <v>5781.0845053088997</v>
      </c>
      <c r="F125" s="1">
        <v>5810.2713159331997</v>
      </c>
      <c r="G125" s="1">
        <v>5961.8688239825997</v>
      </c>
      <c r="H125" s="1">
        <v>7964.5480454438002</v>
      </c>
      <c r="I125" s="1">
        <v>8202.7090737859999</v>
      </c>
      <c r="J125" s="1">
        <v>8299.2483057986992</v>
      </c>
    </row>
    <row r="126" spans="1:10" x14ac:dyDescent="0.3">
      <c r="A126" t="s">
        <v>58</v>
      </c>
      <c r="B126" t="s">
        <v>59</v>
      </c>
      <c r="C126" t="s">
        <v>22</v>
      </c>
      <c r="D126" t="s">
        <v>23</v>
      </c>
      <c r="E126" s="1">
        <v>1595.0286063441999</v>
      </c>
      <c r="F126" s="1">
        <v>1619.3252311711001</v>
      </c>
      <c r="G126" s="1">
        <v>1698.9405601344999</v>
      </c>
      <c r="H126" s="1">
        <v>3227.0240780510999</v>
      </c>
      <c r="I126" s="1">
        <v>3226.5414089022001</v>
      </c>
      <c r="J126" s="1">
        <v>3192.3815420554001</v>
      </c>
    </row>
    <row r="127" spans="1:10" x14ac:dyDescent="0.3">
      <c r="A127" t="s">
        <v>58</v>
      </c>
      <c r="B127" t="s">
        <v>59</v>
      </c>
      <c r="C127" t="s">
        <v>24</v>
      </c>
      <c r="D127" t="s">
        <v>25</v>
      </c>
      <c r="E127" s="1">
        <v>107.02767802891999</v>
      </c>
      <c r="F127" s="1">
        <v>108.41556033102999</v>
      </c>
      <c r="G127" s="1">
        <v>113.34434811294</v>
      </c>
      <c r="H127" s="1">
        <v>140.59882085538001</v>
      </c>
      <c r="I127" s="1">
        <v>142.00671577711</v>
      </c>
      <c r="J127" s="1">
        <v>143.47393777721999</v>
      </c>
    </row>
    <row r="128" spans="1:10" x14ac:dyDescent="0.3">
      <c r="A128" t="s">
        <v>58</v>
      </c>
      <c r="B128" t="s">
        <v>59</v>
      </c>
      <c r="C128" t="s">
        <v>26</v>
      </c>
      <c r="D128" t="s">
        <v>27</v>
      </c>
      <c r="E128" s="1">
        <v>11.27846769324</v>
      </c>
      <c r="F128" s="1">
        <v>11.191130768556</v>
      </c>
      <c r="G128" s="1">
        <v>11.016365374735001</v>
      </c>
      <c r="H128" s="1">
        <v>13.306829330154001</v>
      </c>
      <c r="I128" s="1">
        <v>13.332081690794</v>
      </c>
      <c r="J128" s="1">
        <v>13.368387774895</v>
      </c>
    </row>
    <row r="129" spans="1:10" x14ac:dyDescent="0.3">
      <c r="A129" t="s">
        <v>58</v>
      </c>
      <c r="B129" t="s">
        <v>59</v>
      </c>
      <c r="C129" t="s">
        <v>28</v>
      </c>
      <c r="D129" t="s">
        <v>29</v>
      </c>
      <c r="E129" s="1">
        <v>25694.728676422001</v>
      </c>
      <c r="F129" s="1">
        <v>26000.902282104998</v>
      </c>
      <c r="G129" s="1">
        <v>26414.844014518301</v>
      </c>
      <c r="H129" s="1">
        <v>38548.118942762398</v>
      </c>
      <c r="I129" s="1">
        <v>39112.688790101303</v>
      </c>
      <c r="J129" s="1">
        <v>39632.664218542202</v>
      </c>
    </row>
    <row r="130" spans="1:10" x14ac:dyDescent="0.3">
      <c r="A130" t="s">
        <v>58</v>
      </c>
      <c r="B130" t="s">
        <v>59</v>
      </c>
      <c r="C130" t="s">
        <v>30</v>
      </c>
      <c r="D130" t="s">
        <v>31</v>
      </c>
      <c r="E130" s="1">
        <v>30260000000</v>
      </c>
      <c r="F130" s="1">
        <v>28069000000</v>
      </c>
      <c r="G130" s="1">
        <v>24236000000</v>
      </c>
      <c r="H130" s="1">
        <v>27833000000</v>
      </c>
      <c r="I130" s="1">
        <v>27225000000</v>
      </c>
      <c r="J130" s="1">
        <v>26995000000</v>
      </c>
    </row>
    <row r="131" spans="1:10" x14ac:dyDescent="0.3">
      <c r="A131" t="s">
        <v>58</v>
      </c>
      <c r="B131" t="s">
        <v>59</v>
      </c>
      <c r="C131" t="s">
        <v>32</v>
      </c>
      <c r="D131" t="s">
        <v>33</v>
      </c>
      <c r="E131" s="1">
        <v>19311000000</v>
      </c>
      <c r="F131" s="1">
        <v>18427000000</v>
      </c>
      <c r="G131" s="1">
        <v>17783000000</v>
      </c>
      <c r="H131" s="1">
        <v>33610000000</v>
      </c>
      <c r="I131" s="1">
        <v>29664000000</v>
      </c>
      <c r="J131" s="1">
        <v>28815000000</v>
      </c>
    </row>
    <row r="132" spans="1:10" x14ac:dyDescent="0.3">
      <c r="A132" t="s">
        <v>58</v>
      </c>
      <c r="B132" t="s">
        <v>59</v>
      </c>
      <c r="C132" t="s">
        <v>36</v>
      </c>
      <c r="D132" t="s">
        <v>37</v>
      </c>
      <c r="E132" s="1">
        <v>1244.7464566440001</v>
      </c>
      <c r="F132" s="1">
        <v>1254.7120283811</v>
      </c>
      <c r="G132" s="1">
        <v>1270.1775076253</v>
      </c>
      <c r="H132" s="1">
        <v>1664.6576571159001</v>
      </c>
      <c r="I132" s="1">
        <v>1648.3467519858</v>
      </c>
      <c r="J132" s="1">
        <v>1651.6650100979</v>
      </c>
    </row>
    <row r="133" spans="1:10" x14ac:dyDescent="0.3">
      <c r="A133" t="s">
        <v>58</v>
      </c>
      <c r="B133" t="s">
        <v>59</v>
      </c>
      <c r="C133" t="s">
        <v>38</v>
      </c>
      <c r="D133" t="s">
        <v>39</v>
      </c>
      <c r="E133" s="1">
        <v>84.299379417799997</v>
      </c>
      <c r="F133" s="1">
        <v>86.457716595378002</v>
      </c>
      <c r="G133" s="1">
        <v>87.561408409338995</v>
      </c>
      <c r="H133" s="1">
        <v>133.70956914077999</v>
      </c>
      <c r="I133" s="1">
        <v>135.73901167802001</v>
      </c>
      <c r="J133" s="1">
        <v>137.84405173061</v>
      </c>
    </row>
    <row r="134" spans="1:10" x14ac:dyDescent="0.3">
      <c r="A134" t="s">
        <v>60</v>
      </c>
      <c r="B134" t="s">
        <v>61</v>
      </c>
      <c r="C134" t="s">
        <v>12</v>
      </c>
      <c r="D134" t="s">
        <v>13</v>
      </c>
      <c r="E134" s="1">
        <v>2213.8123505317794</v>
      </c>
      <c r="F134" s="1">
        <v>3033.9323450703646</v>
      </c>
      <c r="G134" s="1">
        <v>3076.0700716010097</v>
      </c>
      <c r="H134" s="1">
        <v>11786.019149298254</v>
      </c>
      <c r="I134" s="1">
        <v>12587.612603865125</v>
      </c>
      <c r="J134" s="1">
        <v>13379.351357722368</v>
      </c>
    </row>
    <row r="135" spans="1:10" x14ac:dyDescent="0.3">
      <c r="A135" t="s">
        <v>60</v>
      </c>
      <c r="B135" t="s">
        <v>61</v>
      </c>
      <c r="C135" t="s">
        <v>16</v>
      </c>
      <c r="D135" t="s">
        <v>17</v>
      </c>
      <c r="E135" s="1">
        <v>70.891999999999996</v>
      </c>
      <c r="F135" s="1">
        <v>71.659000000000006</v>
      </c>
      <c r="G135" s="1">
        <v>72.36</v>
      </c>
      <c r="H135" s="1">
        <v>80.760000000000005</v>
      </c>
      <c r="I135" s="1">
        <v>81.040999999999997</v>
      </c>
      <c r="J135" s="1">
        <v>81.284999999999997</v>
      </c>
    </row>
    <row r="136" spans="1:10" x14ac:dyDescent="0.3">
      <c r="A136" t="s">
        <v>60</v>
      </c>
      <c r="B136" t="s">
        <v>61</v>
      </c>
      <c r="C136" t="s">
        <v>18</v>
      </c>
      <c r="D136" t="s">
        <v>19</v>
      </c>
      <c r="E136" s="1">
        <v>4.07E-2</v>
      </c>
      <c r="F136" s="1">
        <v>3.8899999999999997E-2</v>
      </c>
      <c r="G136" s="1">
        <v>4.2299999999999997E-2</v>
      </c>
      <c r="H136" s="1">
        <v>0.24460000000000001</v>
      </c>
      <c r="I136" s="1">
        <v>0.24340000000000001</v>
      </c>
      <c r="J136" s="1">
        <v>0.2545</v>
      </c>
    </row>
    <row r="137" spans="1:10" x14ac:dyDescent="0.3">
      <c r="A137" t="s">
        <v>60</v>
      </c>
      <c r="B137" t="s">
        <v>61</v>
      </c>
      <c r="C137" t="s">
        <v>20</v>
      </c>
      <c r="D137" t="s">
        <v>21</v>
      </c>
      <c r="E137" s="1">
        <v>0.26040000000000002</v>
      </c>
      <c r="F137" s="1">
        <v>0.22520000000000001</v>
      </c>
      <c r="G137" s="1">
        <v>0.25740000000000002</v>
      </c>
      <c r="H137" s="1">
        <v>0.90159999999999996</v>
      </c>
      <c r="I137" s="1">
        <v>0.91069999999999995</v>
      </c>
      <c r="J137" s="1">
        <v>0.95909999999999995</v>
      </c>
    </row>
    <row r="138" spans="1:10" x14ac:dyDescent="0.3">
      <c r="A138" t="s">
        <v>60</v>
      </c>
      <c r="B138" t="s">
        <v>61</v>
      </c>
      <c r="C138" t="s">
        <v>22</v>
      </c>
      <c r="D138" t="s">
        <v>23</v>
      </c>
      <c r="E138" s="1">
        <v>1.6999999999999999E-3</v>
      </c>
      <c r="F138" s="1">
        <v>1.5E-3</v>
      </c>
      <c r="G138" s="1">
        <v>1.6999999999999999E-3</v>
      </c>
      <c r="H138" s="1">
        <v>4.5999999999999999E-3</v>
      </c>
      <c r="I138" s="1">
        <v>4.3E-3</v>
      </c>
      <c r="J138" s="1">
        <v>4.0000000000000001E-3</v>
      </c>
    </row>
    <row r="139" spans="1:10" x14ac:dyDescent="0.3">
      <c r="A139" t="s">
        <v>60</v>
      </c>
      <c r="B139" t="s">
        <v>61</v>
      </c>
      <c r="C139" t="s">
        <v>26</v>
      </c>
      <c r="D139" t="s">
        <v>27</v>
      </c>
      <c r="E139" s="1">
        <v>1.2999999999999999E-3</v>
      </c>
      <c r="F139" s="1">
        <v>1.4E-3</v>
      </c>
      <c r="G139" s="1">
        <v>1.5E-3</v>
      </c>
      <c r="H139" s="1">
        <v>3.7000000000000002E-3</v>
      </c>
      <c r="I139" s="1">
        <v>3.8E-3</v>
      </c>
      <c r="J139" s="1">
        <v>3.8999999999999998E-3</v>
      </c>
    </row>
    <row r="140" spans="1:10" x14ac:dyDescent="0.3">
      <c r="A140" t="s">
        <v>60</v>
      </c>
      <c r="B140" t="s">
        <v>61</v>
      </c>
      <c r="C140" t="s">
        <v>28</v>
      </c>
      <c r="D140" t="s">
        <v>29</v>
      </c>
      <c r="E140" s="1">
        <v>0.62780000000000002</v>
      </c>
      <c r="F140" s="1">
        <v>0.55469999999999997</v>
      </c>
      <c r="G140" s="1">
        <v>0.67210000000000003</v>
      </c>
      <c r="H140" s="1">
        <v>1.7895000000000001</v>
      </c>
      <c r="I140" s="1">
        <v>1.7942</v>
      </c>
      <c r="J140" s="1">
        <v>1.8824000000000001</v>
      </c>
    </row>
    <row r="141" spans="1:10" x14ac:dyDescent="0.3">
      <c r="A141" t="s">
        <v>60</v>
      </c>
      <c r="B141" t="s">
        <v>61</v>
      </c>
      <c r="C141" t="s">
        <v>36</v>
      </c>
      <c r="D141" t="s">
        <v>37</v>
      </c>
      <c r="E141" s="1">
        <v>4.2599999999999999E-2</v>
      </c>
      <c r="F141" s="1">
        <v>4.5100000000000001E-2</v>
      </c>
      <c r="G141" s="1">
        <v>4.87E-2</v>
      </c>
      <c r="H141" s="1">
        <v>0.14899999999999999</v>
      </c>
      <c r="I141" s="1">
        <v>0.1537</v>
      </c>
      <c r="J141" s="1">
        <v>0.1585</v>
      </c>
    </row>
    <row r="142" spans="1:10" x14ac:dyDescent="0.3">
      <c r="A142" t="s">
        <v>60</v>
      </c>
      <c r="B142" t="s">
        <v>61</v>
      </c>
      <c r="C142" t="s">
        <v>38</v>
      </c>
      <c r="D142" t="s">
        <v>39</v>
      </c>
      <c r="E142" s="1">
        <v>5.1000000000000004E-3</v>
      </c>
      <c r="F142" s="1">
        <v>5.1999999999999998E-3</v>
      </c>
      <c r="G142" s="1">
        <v>5.1999999999999998E-3</v>
      </c>
      <c r="H142" s="1">
        <v>8.6999999999999994E-3</v>
      </c>
      <c r="I142" s="1">
        <v>8.8000000000000005E-3</v>
      </c>
      <c r="J142" s="1">
        <v>8.8000000000000005E-3</v>
      </c>
    </row>
    <row r="143" spans="1:10" x14ac:dyDescent="0.3">
      <c r="A143" t="s">
        <v>62</v>
      </c>
      <c r="B143" t="s">
        <v>63</v>
      </c>
      <c r="C143" t="s">
        <v>12</v>
      </c>
      <c r="D143" t="s">
        <v>13</v>
      </c>
      <c r="E143" s="1">
        <v>38865.02193968802</v>
      </c>
      <c r="F143" s="1">
        <v>39638.791106186392</v>
      </c>
      <c r="G143" s="1">
        <v>42458.738467918709</v>
      </c>
      <c r="H143" s="1">
        <v>94394.510680352454</v>
      </c>
      <c r="I143" s="1">
        <v>100623.54962729648</v>
      </c>
      <c r="J143" s="1">
        <v>103998.18668560409</v>
      </c>
    </row>
    <row r="144" spans="1:10" x14ac:dyDescent="0.3">
      <c r="A144" t="s">
        <v>62</v>
      </c>
      <c r="B144" t="s">
        <v>63</v>
      </c>
      <c r="C144" t="s">
        <v>16</v>
      </c>
      <c r="D144" t="s">
        <v>17</v>
      </c>
      <c r="E144" s="1">
        <v>79.680487804878055</v>
      </c>
      <c r="F144" s="1">
        <v>80.180487804878055</v>
      </c>
      <c r="G144" s="1">
        <v>80.385365853658541</v>
      </c>
      <c r="H144" s="1">
        <v>83.604878048780492</v>
      </c>
      <c r="I144" s="1">
        <v>84.156097560975624</v>
      </c>
      <c r="J144" s="1">
        <v>84.407317073170745</v>
      </c>
    </row>
    <row r="145" spans="1:10" x14ac:dyDescent="0.3">
      <c r="A145" t="s">
        <v>62</v>
      </c>
      <c r="B145" t="s">
        <v>63</v>
      </c>
      <c r="C145" t="s">
        <v>18</v>
      </c>
      <c r="D145" t="s">
        <v>19</v>
      </c>
      <c r="E145" s="1">
        <v>16.360199999999999</v>
      </c>
      <c r="F145" s="1">
        <v>17.625399999999999</v>
      </c>
      <c r="G145" s="1">
        <v>16.5809</v>
      </c>
      <c r="H145" s="1">
        <v>9.9785000000000004</v>
      </c>
      <c r="I145" s="1">
        <v>9.6178000000000008</v>
      </c>
      <c r="J145" s="1">
        <v>9.6685999999999996</v>
      </c>
    </row>
    <row r="146" spans="1:10" x14ac:dyDescent="0.3">
      <c r="A146" t="s">
        <v>62</v>
      </c>
      <c r="B146" t="s">
        <v>63</v>
      </c>
      <c r="C146" t="s">
        <v>20</v>
      </c>
      <c r="D146" t="s">
        <v>21</v>
      </c>
      <c r="E146" s="1">
        <v>16.549600000000002</v>
      </c>
      <c r="F146" s="1">
        <v>16.241900000000001</v>
      </c>
      <c r="G146" s="1">
        <v>16.268799999999999</v>
      </c>
      <c r="H146" s="1">
        <v>14.461399999999999</v>
      </c>
      <c r="I146" s="1">
        <v>14.4838</v>
      </c>
      <c r="J146" s="1">
        <v>14.4941</v>
      </c>
    </row>
    <row r="147" spans="1:10" x14ac:dyDescent="0.3">
      <c r="A147" t="s">
        <v>62</v>
      </c>
      <c r="B147" t="s">
        <v>63</v>
      </c>
      <c r="C147" t="s">
        <v>22</v>
      </c>
      <c r="D147" t="s">
        <v>23</v>
      </c>
      <c r="E147" s="1">
        <v>2.6964999999999999</v>
      </c>
      <c r="F147" s="1">
        <v>2.7197</v>
      </c>
      <c r="G147" s="1">
        <v>2.6318999999999999</v>
      </c>
      <c r="H147" s="1">
        <v>2.5878000000000001</v>
      </c>
      <c r="I147" s="1">
        <v>2.5506000000000002</v>
      </c>
      <c r="J147" s="1">
        <v>2.5707</v>
      </c>
    </row>
    <row r="148" spans="1:10" x14ac:dyDescent="0.3">
      <c r="A148" t="s">
        <v>62</v>
      </c>
      <c r="B148" t="s">
        <v>63</v>
      </c>
      <c r="C148" t="s">
        <v>24</v>
      </c>
      <c r="D148" t="s">
        <v>25</v>
      </c>
      <c r="E148" s="1">
        <v>4.24E-2</v>
      </c>
      <c r="F148" s="1">
        <v>3.3000000000000002E-2</v>
      </c>
      <c r="G148" s="1">
        <v>2.6700000000000002E-2</v>
      </c>
      <c r="H148" s="1">
        <v>3.5999999999999997E-2</v>
      </c>
      <c r="I148" s="1">
        <v>4.07E-2</v>
      </c>
      <c r="J148" s="1">
        <v>4.6199999999999998E-2</v>
      </c>
    </row>
    <row r="149" spans="1:10" x14ac:dyDescent="0.3">
      <c r="A149" t="s">
        <v>62</v>
      </c>
      <c r="B149" t="s">
        <v>63</v>
      </c>
      <c r="C149" t="s">
        <v>26</v>
      </c>
      <c r="D149" t="s">
        <v>27</v>
      </c>
      <c r="E149" s="1">
        <v>3.8E-3</v>
      </c>
      <c r="F149" s="1">
        <v>3.0000000000000001E-3</v>
      </c>
      <c r="G149" s="1">
        <v>2.3E-3</v>
      </c>
      <c r="H149" s="1">
        <v>1.4E-3</v>
      </c>
      <c r="I149" s="1">
        <v>1.4E-3</v>
      </c>
      <c r="J149" s="1">
        <v>1.2999999999999999E-3</v>
      </c>
    </row>
    <row r="150" spans="1:10" x14ac:dyDescent="0.3">
      <c r="A150" t="s">
        <v>62</v>
      </c>
      <c r="B150" t="s">
        <v>63</v>
      </c>
      <c r="C150" t="s">
        <v>28</v>
      </c>
      <c r="D150" t="s">
        <v>29</v>
      </c>
      <c r="E150" s="1">
        <v>44.764299999999999</v>
      </c>
      <c r="F150" s="1">
        <v>46.188699999999997</v>
      </c>
      <c r="G150" s="1">
        <v>44.5779</v>
      </c>
      <c r="H150" s="1">
        <v>34.480499999999999</v>
      </c>
      <c r="I150" s="1">
        <v>33.6661</v>
      </c>
      <c r="J150" s="1">
        <v>33.732100000000003</v>
      </c>
    </row>
    <row r="151" spans="1:10" x14ac:dyDescent="0.3">
      <c r="A151" t="s">
        <v>62</v>
      </c>
      <c r="B151" t="s">
        <v>63</v>
      </c>
      <c r="C151" t="s">
        <v>30</v>
      </c>
      <c r="D151" t="s">
        <v>31</v>
      </c>
      <c r="E151" s="1">
        <v>139000000</v>
      </c>
      <c r="F151" s="1">
        <v>218000000</v>
      </c>
      <c r="G151" s="1">
        <v>177000000</v>
      </c>
      <c r="H151" s="1">
        <v>176000000</v>
      </c>
      <c r="I151" s="1">
        <v>63000000</v>
      </c>
      <c r="J151" s="1">
        <v>33000000</v>
      </c>
    </row>
    <row r="152" spans="1:10" x14ac:dyDescent="0.3">
      <c r="A152" t="s">
        <v>62</v>
      </c>
      <c r="B152" t="s">
        <v>63</v>
      </c>
      <c r="C152" t="s">
        <v>34</v>
      </c>
      <c r="D152" t="s">
        <v>35</v>
      </c>
      <c r="E152" s="1">
        <v>4729000000</v>
      </c>
      <c r="F152" s="1">
        <v>4664000000</v>
      </c>
      <c r="G152" s="1">
        <v>4493000000</v>
      </c>
      <c r="H152" s="1">
        <v>5395700000</v>
      </c>
      <c r="I152" s="1">
        <v>5670900000</v>
      </c>
      <c r="J152" s="1">
        <v>5919600000</v>
      </c>
    </row>
    <row r="153" spans="1:10" x14ac:dyDescent="0.3">
      <c r="A153" t="s">
        <v>62</v>
      </c>
      <c r="B153" t="s">
        <v>63</v>
      </c>
      <c r="C153" t="s">
        <v>36</v>
      </c>
      <c r="D153" t="s">
        <v>37</v>
      </c>
      <c r="E153" s="1">
        <v>0.52610000000000001</v>
      </c>
      <c r="F153" s="1">
        <v>0.50470000000000004</v>
      </c>
      <c r="G153" s="1">
        <v>0.47410000000000002</v>
      </c>
      <c r="H153" s="1">
        <v>0.24959999999999999</v>
      </c>
      <c r="I153" s="1">
        <v>0.2477</v>
      </c>
      <c r="J153" s="1">
        <v>0.24740000000000001</v>
      </c>
    </row>
    <row r="154" spans="1:10" x14ac:dyDescent="0.3">
      <c r="A154" t="s">
        <v>62</v>
      </c>
      <c r="B154" t="s">
        <v>63</v>
      </c>
      <c r="C154" t="s">
        <v>38</v>
      </c>
      <c r="D154" t="s">
        <v>39</v>
      </c>
      <c r="E154" s="1">
        <v>0.1376</v>
      </c>
      <c r="F154" s="1">
        <v>0.13950000000000001</v>
      </c>
      <c r="G154" s="1">
        <v>0.13969999999999999</v>
      </c>
      <c r="H154" s="1">
        <v>0.1726</v>
      </c>
      <c r="I154" s="1">
        <v>0.1744</v>
      </c>
      <c r="J154" s="1">
        <v>0.17630000000000001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981378-1A5E-48F9-BD5F-F7CE77566C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Definitivo</vt:lpstr>
      <vt:lpstr>Pivot</vt:lpstr>
      <vt:lpstr>Continenti</vt:lpstr>
      <vt:lpstr>Principale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 Pagano</dc:creator>
  <cp:lastModifiedBy>Carol Pagano</cp:lastModifiedBy>
  <dcterms:created xsi:type="dcterms:W3CDTF">2015-06-05T18:17:20Z</dcterms:created>
  <dcterms:modified xsi:type="dcterms:W3CDTF">2026-05-01T11:54:38Z</dcterms:modified>
</cp:coreProperties>
</file>